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PEM\"/>
    </mc:Choice>
  </mc:AlternateContent>
  <xr:revisionPtr revIDLastSave="0" documentId="13_ncr:1_{04D64E2F-506B-4DBD-A6A6-F38769E68C80}" xr6:coauthVersionLast="47" xr6:coauthVersionMax="47" xr10:uidLastSave="{00000000-0000-0000-0000-000000000000}"/>
  <bookViews>
    <workbookView xWindow="5148" yWindow="3336" windowWidth="23040" windowHeight="12120" activeTab="2" xr2:uid="{00000000-000D-0000-FFFF-FFFF00000000}"/>
  </bookViews>
  <sheets>
    <sheet name="Scenario" sheetId="1" r:id="rId1"/>
    <sheet name="Metrics" sheetId="2" r:id="rId2"/>
    <sheet name="Ener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3" l="1"/>
  <c r="G7" i="1"/>
  <c r="G16" i="1"/>
  <c r="H15" i="1"/>
  <c r="G15" i="1"/>
  <c r="G14" i="1"/>
  <c r="G13" i="1"/>
  <c r="G12" i="1"/>
  <c r="G11" i="1"/>
  <c r="G10" i="1"/>
  <c r="G9" i="1"/>
  <c r="G8" i="1"/>
  <c r="H7" i="1"/>
  <c r="G6" i="1"/>
  <c r="G5" i="1"/>
  <c r="G4" i="1"/>
  <c r="G3" i="1"/>
  <c r="G2" i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3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<sst xmlns="http://schemas.openxmlformats.org/spreadsheetml/2006/main" count="64" uniqueCount="29">
  <si>
    <t>Scenario</t>
  </si>
  <si>
    <t>PV</t>
  </si>
  <si>
    <t>WT</t>
  </si>
  <si>
    <t>LiB</t>
  </si>
  <si>
    <t>PEM</t>
  </si>
  <si>
    <t>HST</t>
  </si>
  <si>
    <t>BLN</t>
  </si>
  <si>
    <t>HEL</t>
  </si>
  <si>
    <t>HRE</t>
  </si>
  <si>
    <t>HRE_HEL</t>
  </si>
  <si>
    <t>HSC</t>
  </si>
  <si>
    <t>HTN</t>
  </si>
  <si>
    <t>HTN_NEP</t>
  </si>
  <si>
    <t>LEL</t>
  </si>
  <si>
    <t>LRE</t>
  </si>
  <si>
    <t>LRE_LEL</t>
  </si>
  <si>
    <t>LSC</t>
  </si>
  <si>
    <t>LTN</t>
  </si>
  <si>
    <t>LTN_PEP</t>
  </si>
  <si>
    <t>NEP</t>
  </si>
  <si>
    <t>PEP</t>
  </si>
  <si>
    <t>LCOM</t>
  </si>
  <si>
    <t>LCOC</t>
  </si>
  <si>
    <t>Ratio</t>
  </si>
  <si>
    <t>LCCR</t>
  </si>
  <si>
    <t>Grid</t>
  </si>
  <si>
    <t>Ratio</t>
    <phoneticPr fontId="3" type="noConversion"/>
  </si>
  <si>
    <t>LCCR shift</t>
    <phoneticPr fontId="3" type="noConversion"/>
  </si>
  <si>
    <t>total_renew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</si>
</sst>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6" fontId="0" fillId="0" borderId="0" xfId="1" applyNumberFormat="1" applyFont="1" applyAlignment="1"/>
    <xf numFmtId="0" fontId="1" fillId="0" borderId="2" xfId="0" applyFont="1" applyFill="1" applyBorder="1" applyAlignment="1">
      <alignment horizontal="center" vertical="top"/>
    </xf>
    <xf numFmtId="177" fontId="0" fillId="0" borderId="0" xfId="0" applyNumberFormat="1"/>
    <xf numFmtId="0" fontId="4" fillId="0" borderId="0" xfId="0" applyFont="1"/>
    <xf numFmtId="176" fontId="5" fillId="0" borderId="0" xfId="1" applyNumberFormat="1" applyFont="1" applyAlignment="1"/>
    <xf numFmtId="177" fontId="5" fillId="0" borderId="0" xfId="0" applyNumberFormat="1" applyFont="1"/>
    <xf numFmtId="0" fontId="0" fillId="2" borderId="0" xfId="0" applyFill="1"/>
    <xf numFmtId="176" fontId="0" fillId="2" borderId="0" xfId="1" applyNumberFormat="1" applyFont="1" applyFill="1" applyAlignment="1"/>
    <xf numFmtId="177" fontId="0" fillId="2" borderId="0" xfId="0" applyNumberFormat="1" applyFill="1"/>
    <xf numFmtId="0" fontId="0" fillId="3" borderId="0" xfId="0" applyFill="1"/>
    <xf numFmtId="176" fontId="0" fillId="3" borderId="0" xfId="1" applyNumberFormat="1" applyFont="1" applyFill="1" applyAlignment="1"/>
    <xf numFmtId="177" fontId="0" fillId="3" borderId="0" xfId="0" applyNumberFormat="1" applyFill="1"/>
    <xf numFmtId="0" fontId="1" fillId="0" borderId="3" xfId="0" applyFont="1" applyBorder="1" applyAlignment="1">
      <alignment horizontal="center" vertical="top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B7" sqref="B7:F7"/>
    </sheetView>
  </sheetViews>
  <sheetFormatPr defaultRowHeight="14.4" x14ac:dyDescent="0.25"/>
  <cols>
    <col min="7" max="7" width="14.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28</v>
      </c>
    </row>
    <row r="2" spans="1:8" x14ac:dyDescent="0.25">
      <c r="A2" t="s">
        <v>6</v>
      </c>
      <c r="B2">
        <v>99.841398447744069</v>
      </c>
      <c r="C2">
        <v>319.95375508842397</v>
      </c>
      <c r="D2">
        <v>0</v>
      </c>
      <c r="E2">
        <v>162.52250000000001</v>
      </c>
      <c r="F2">
        <v>36.770111999999997</v>
      </c>
      <c r="G2">
        <f t="shared" ref="G2:G14" si="0">B2+C2</f>
        <v>419.79515353616807</v>
      </c>
    </row>
    <row r="3" spans="1:8" x14ac:dyDescent="0.25">
      <c r="A3" t="s">
        <v>7</v>
      </c>
      <c r="B3">
        <v>97.254618905832913</v>
      </c>
      <c r="C3">
        <v>321.60452884571617</v>
      </c>
      <c r="D3">
        <v>0</v>
      </c>
      <c r="E3">
        <v>160.30000000000001</v>
      </c>
      <c r="F3">
        <v>35.731008000000003</v>
      </c>
      <c r="G3">
        <f t="shared" si="0"/>
        <v>418.85914775154907</v>
      </c>
    </row>
    <row r="4" spans="1:8" x14ac:dyDescent="0.25">
      <c r="A4" t="s">
        <v>8</v>
      </c>
      <c r="B4">
        <v>118.72757487987001</v>
      </c>
      <c r="C4">
        <v>286.74070050578871</v>
      </c>
      <c r="D4">
        <v>0</v>
      </c>
      <c r="E4">
        <v>168.38499999999999</v>
      </c>
      <c r="F4">
        <v>42.35136</v>
      </c>
      <c r="G4">
        <f t="shared" si="0"/>
        <v>405.46827538565873</v>
      </c>
    </row>
    <row r="5" spans="1:8" x14ac:dyDescent="0.25">
      <c r="A5" t="s">
        <v>9</v>
      </c>
      <c r="B5">
        <v>105.9328814057391</v>
      </c>
      <c r="C5">
        <v>297.709463966508</v>
      </c>
      <c r="D5">
        <v>0</v>
      </c>
      <c r="E5">
        <v>161.85749999999999</v>
      </c>
      <c r="F5">
        <v>39.052992000000003</v>
      </c>
      <c r="G5">
        <f t="shared" si="0"/>
        <v>403.64234537224706</v>
      </c>
    </row>
    <row r="6" spans="1:8" x14ac:dyDescent="0.25">
      <c r="A6" t="s">
        <v>10</v>
      </c>
      <c r="B6">
        <v>115.5303480285727</v>
      </c>
      <c r="C6">
        <v>309.99222389938888</v>
      </c>
      <c r="D6">
        <v>0</v>
      </c>
      <c r="E6">
        <v>168.96250000000001</v>
      </c>
      <c r="F6">
        <v>42.500927999999988</v>
      </c>
      <c r="G6">
        <f t="shared" si="0"/>
        <v>425.52257192796156</v>
      </c>
    </row>
    <row r="7" spans="1:8" x14ac:dyDescent="0.25">
      <c r="A7" t="s">
        <v>11</v>
      </c>
      <c r="B7">
        <v>94.843794397571926</v>
      </c>
      <c r="C7">
        <v>320.80191737420859</v>
      </c>
      <c r="D7">
        <v>0</v>
      </c>
      <c r="E7">
        <v>159.495</v>
      </c>
      <c r="F7">
        <v>35.510592000000003</v>
      </c>
      <c r="G7">
        <f>B7+C7</f>
        <v>415.6457117717805</v>
      </c>
      <c r="H7" s="9">
        <f>B7+C7-B2-C2</f>
        <v>-4.1494417643875181</v>
      </c>
    </row>
    <row r="8" spans="1:8" x14ac:dyDescent="0.25">
      <c r="A8" t="s">
        <v>12</v>
      </c>
      <c r="B8">
        <v>159.36288874370601</v>
      </c>
      <c r="C8">
        <v>123.6601809481852</v>
      </c>
      <c r="D8">
        <v>0</v>
      </c>
      <c r="E8">
        <v>171.3075</v>
      </c>
      <c r="F8">
        <v>70.163136000000009</v>
      </c>
      <c r="G8">
        <f t="shared" si="0"/>
        <v>283.02306969189124</v>
      </c>
    </row>
    <row r="9" spans="1:8" x14ac:dyDescent="0.25">
      <c r="A9" t="s">
        <v>13</v>
      </c>
      <c r="B9">
        <v>108.68832710001681</v>
      </c>
      <c r="C9">
        <v>313.28035366176522</v>
      </c>
      <c r="D9">
        <v>0</v>
      </c>
      <c r="E9">
        <v>167.37</v>
      </c>
      <c r="F9">
        <v>39.163200000000003</v>
      </c>
      <c r="G9">
        <f t="shared" si="0"/>
        <v>421.96868076178203</v>
      </c>
    </row>
    <row r="10" spans="1:8" x14ac:dyDescent="0.25">
      <c r="A10" t="s">
        <v>14</v>
      </c>
      <c r="B10">
        <v>96.061249769326679</v>
      </c>
      <c r="C10">
        <v>338.83222842955001</v>
      </c>
      <c r="D10">
        <v>0</v>
      </c>
      <c r="E10">
        <v>162.36500000000001</v>
      </c>
      <c r="F10">
        <v>35.258687999999999</v>
      </c>
      <c r="G10">
        <f t="shared" si="0"/>
        <v>434.89347819887666</v>
      </c>
    </row>
    <row r="11" spans="1:8" x14ac:dyDescent="0.25">
      <c r="A11" t="s">
        <v>15</v>
      </c>
      <c r="B11">
        <v>100.60070882983069</v>
      </c>
      <c r="C11">
        <v>335.82115648041031</v>
      </c>
      <c r="D11">
        <v>0</v>
      </c>
      <c r="E11">
        <v>166.215</v>
      </c>
      <c r="F11">
        <v>37.108607999999997</v>
      </c>
      <c r="G11">
        <f t="shared" si="0"/>
        <v>436.421865310241</v>
      </c>
    </row>
    <row r="12" spans="1:8" x14ac:dyDescent="0.25">
      <c r="A12" t="s">
        <v>16</v>
      </c>
      <c r="B12">
        <v>165.0140490650607</v>
      </c>
      <c r="C12">
        <v>156.99421477690589</v>
      </c>
      <c r="D12">
        <v>0</v>
      </c>
      <c r="E12">
        <v>171.72749999999999</v>
      </c>
      <c r="F12">
        <v>66.077567999999999</v>
      </c>
      <c r="G12">
        <f t="shared" si="0"/>
        <v>322.0082638419666</v>
      </c>
    </row>
    <row r="13" spans="1:8" x14ac:dyDescent="0.25">
      <c r="A13" t="s">
        <v>17</v>
      </c>
      <c r="B13">
        <v>108.43563065441001</v>
      </c>
      <c r="C13">
        <v>318.95772786830372</v>
      </c>
      <c r="D13">
        <v>0</v>
      </c>
      <c r="E13">
        <v>167.65</v>
      </c>
      <c r="F13">
        <v>41.217792000000003</v>
      </c>
      <c r="G13">
        <f t="shared" si="0"/>
        <v>427.3933585227137</v>
      </c>
    </row>
    <row r="14" spans="1:8" x14ac:dyDescent="0.25">
      <c r="A14" t="s">
        <v>18</v>
      </c>
      <c r="B14">
        <v>105.6687933751185</v>
      </c>
      <c r="C14">
        <v>335.69363217055968</v>
      </c>
      <c r="D14">
        <v>0</v>
      </c>
      <c r="E14">
        <v>169.995</v>
      </c>
      <c r="F14">
        <v>39.840192000000002</v>
      </c>
      <c r="G14">
        <f t="shared" si="0"/>
        <v>441.36242554567821</v>
      </c>
    </row>
    <row r="15" spans="1:8" x14ac:dyDescent="0.25">
      <c r="A15" t="s">
        <v>19</v>
      </c>
      <c r="B15">
        <v>161.54999572345869</v>
      </c>
      <c r="C15">
        <v>120.17880677503889</v>
      </c>
      <c r="D15">
        <v>0</v>
      </c>
      <c r="E15">
        <v>173.77500000000001</v>
      </c>
      <c r="F15">
        <v>71.414783999999997</v>
      </c>
      <c r="G15">
        <f>B15+C15</f>
        <v>281.7288024984976</v>
      </c>
      <c r="H15">
        <f>(G15-G2)/G2</f>
        <v>-0.32888981655614841</v>
      </c>
    </row>
    <row r="16" spans="1:8" x14ac:dyDescent="0.25">
      <c r="A16" t="s">
        <v>20</v>
      </c>
      <c r="B16">
        <v>102.3035016994276</v>
      </c>
      <c r="C16">
        <v>330.62672327286458</v>
      </c>
      <c r="D16">
        <v>0</v>
      </c>
      <c r="E16">
        <v>165.97</v>
      </c>
      <c r="F16">
        <v>37.195200000000007</v>
      </c>
      <c r="G16">
        <f>B16+C16</f>
        <v>432.93022497229219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F23" sqref="F23"/>
    </sheetView>
  </sheetViews>
  <sheetFormatPr defaultRowHeight="14.4" x14ac:dyDescent="0.25"/>
  <cols>
    <col min="7" max="7" width="9.5546875" bestFit="1" customWidth="1"/>
    <col min="8" max="8" width="10.5546875" bestFit="1" customWidth="1"/>
  </cols>
  <sheetData>
    <row r="1" spans="1:8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G1" s="2" t="s">
        <v>26</v>
      </c>
      <c r="H1" s="4" t="s">
        <v>27</v>
      </c>
    </row>
    <row r="2" spans="1:8" x14ac:dyDescent="0.25">
      <c r="A2" t="s">
        <v>6</v>
      </c>
      <c r="B2">
        <v>537.58479174071908</v>
      </c>
      <c r="C2">
        <v>482.04780967577398</v>
      </c>
      <c r="D2">
        <v>11.52105267365479</v>
      </c>
      <c r="E2">
        <v>9.9332453618156844</v>
      </c>
    </row>
    <row r="3" spans="1:8" x14ac:dyDescent="0.25">
      <c r="A3" t="s">
        <v>7</v>
      </c>
      <c r="B3">
        <v>555.10308357029794</v>
      </c>
      <c r="C3">
        <v>482.04780967577398</v>
      </c>
      <c r="D3">
        <v>15.155192582175831</v>
      </c>
      <c r="E3">
        <v>13.111559851173739</v>
      </c>
      <c r="G3" s="3">
        <f>(B3-$B$2)/$B$2</f>
        <v>3.258703017407541E-2</v>
      </c>
      <c r="H3" s="5">
        <f>E3-$E$2</f>
        <v>3.1783144893580548</v>
      </c>
    </row>
    <row r="4" spans="1:8" s="6" customFormat="1" x14ac:dyDescent="0.25">
      <c r="A4" s="6" t="s">
        <v>8</v>
      </c>
      <c r="B4" s="6">
        <v>578.18325015193705</v>
      </c>
      <c r="C4" s="6">
        <v>482.04780967577398</v>
      </c>
      <c r="D4" s="6">
        <v>19.943133968562972</v>
      </c>
      <c r="E4" s="6">
        <v>17.712063260689721</v>
      </c>
      <c r="G4" s="7">
        <f t="shared" ref="G4:G16" si="0">(B4-$B$2)/$B$2</f>
        <v>7.5520102195894862E-2</v>
      </c>
      <c r="H4" s="8">
        <f t="shared" ref="H4:H16" si="1">E4-$E$2</f>
        <v>7.7788178988740366</v>
      </c>
    </row>
    <row r="5" spans="1:8" x14ac:dyDescent="0.25">
      <c r="A5" t="s">
        <v>9</v>
      </c>
      <c r="B5">
        <v>596.08608056206219</v>
      </c>
      <c r="C5">
        <v>482.04780967577398</v>
      </c>
      <c r="D5">
        <v>23.657045752990879</v>
      </c>
      <c r="E5">
        <v>21.006128351831261</v>
      </c>
      <c r="G5" s="3">
        <f t="shared" si="0"/>
        <v>0.10882244014365401</v>
      </c>
      <c r="H5" s="5">
        <f t="shared" si="1"/>
        <v>11.072882990015577</v>
      </c>
    </row>
    <row r="6" spans="1:8" x14ac:dyDescent="0.25">
      <c r="A6" t="s">
        <v>10</v>
      </c>
      <c r="B6">
        <v>613.7993067289799</v>
      </c>
      <c r="C6">
        <v>483.31652702493869</v>
      </c>
      <c r="D6">
        <v>26.99737592406154</v>
      </c>
      <c r="E6">
        <v>23.62057640857341</v>
      </c>
      <c r="G6" s="3">
        <f t="shared" si="0"/>
        <v>0.14177208164962302</v>
      </c>
      <c r="H6" s="5">
        <f t="shared" si="1"/>
        <v>13.687331046757725</v>
      </c>
    </row>
    <row r="7" spans="1:8" s="9" customFormat="1" x14ac:dyDescent="0.25">
      <c r="A7" s="9" t="s">
        <v>11</v>
      </c>
      <c r="B7" s="9">
        <v>531.78608624840683</v>
      </c>
      <c r="C7" s="9">
        <v>482.04780967577398</v>
      </c>
      <c r="D7" s="9">
        <v>10.31812106066551</v>
      </c>
      <c r="E7" s="9">
        <v>8.8627511704625146</v>
      </c>
      <c r="G7" s="10">
        <f t="shared" si="0"/>
        <v>-1.078658768142572E-2</v>
      </c>
      <c r="H7" s="11">
        <f t="shared" si="1"/>
        <v>-1.0704941913531698</v>
      </c>
    </row>
    <row r="8" spans="1:8" x14ac:dyDescent="0.25">
      <c r="A8" t="s">
        <v>12</v>
      </c>
      <c r="B8">
        <v>466.07250964397173</v>
      </c>
      <c r="C8">
        <v>476.07298383236542</v>
      </c>
      <c r="D8">
        <v>-2.10061787331228</v>
      </c>
      <c r="E8">
        <v>-2.3595483838751621</v>
      </c>
      <c r="G8" s="3">
        <f t="shared" si="0"/>
        <v>-0.13302512123750374</v>
      </c>
      <c r="H8" s="5">
        <f t="shared" si="1"/>
        <v>-12.292793745690847</v>
      </c>
    </row>
    <row r="9" spans="1:8" x14ac:dyDescent="0.25">
      <c r="A9" t="s">
        <v>13</v>
      </c>
      <c r="B9">
        <v>519.71666999184151</v>
      </c>
      <c r="C9">
        <v>482.04780967577398</v>
      </c>
      <c r="D9">
        <v>7.8143411420961888</v>
      </c>
      <c r="E9">
        <v>6.7090523537169942</v>
      </c>
      <c r="G9" s="3">
        <f t="shared" si="0"/>
        <v>-3.3237773879391086E-2</v>
      </c>
      <c r="H9" s="5">
        <f t="shared" si="1"/>
        <v>-3.2241930080986902</v>
      </c>
    </row>
    <row r="10" spans="1:8" x14ac:dyDescent="0.25">
      <c r="A10" t="s">
        <v>14</v>
      </c>
      <c r="B10">
        <v>494.71492900435942</v>
      </c>
      <c r="C10">
        <v>482.04780967577398</v>
      </c>
      <c r="D10">
        <v>2.6277724064559709</v>
      </c>
      <c r="E10">
        <v>2.2151437257997562</v>
      </c>
      <c r="G10" s="3">
        <f t="shared" si="0"/>
        <v>-7.9745304173403961E-2</v>
      </c>
      <c r="H10" s="5">
        <f t="shared" si="1"/>
        <v>-7.7181016360159287</v>
      </c>
    </row>
    <row r="11" spans="1:8" x14ac:dyDescent="0.25">
      <c r="A11" t="s">
        <v>15</v>
      </c>
      <c r="B11">
        <v>476.90486296005031</v>
      </c>
      <c r="C11">
        <v>482.04780967577398</v>
      </c>
      <c r="D11">
        <v>-1.06689556772031</v>
      </c>
      <c r="E11">
        <v>-0.89552273083081246</v>
      </c>
      <c r="G11" s="3">
        <f t="shared" si="0"/>
        <v>-0.11287508447585536</v>
      </c>
      <c r="H11" s="5">
        <f t="shared" si="1"/>
        <v>-10.828768092646497</v>
      </c>
    </row>
    <row r="12" spans="1:8" x14ac:dyDescent="0.25">
      <c r="A12" t="s">
        <v>16</v>
      </c>
      <c r="B12">
        <v>423.5227049207183</v>
      </c>
      <c r="C12">
        <v>476.07298383236542</v>
      </c>
      <c r="D12">
        <v>-11.038282090409711</v>
      </c>
      <c r="E12">
        <v>-11.41367855660474</v>
      </c>
      <c r="G12" s="3">
        <f t="shared" si="0"/>
        <v>-0.2121750625620632</v>
      </c>
      <c r="H12" s="5">
        <f t="shared" si="1"/>
        <v>-21.346923918420423</v>
      </c>
    </row>
    <row r="13" spans="1:8" s="9" customFormat="1" x14ac:dyDescent="0.25">
      <c r="A13" s="9" t="s">
        <v>17</v>
      </c>
      <c r="B13" s="9">
        <v>546.22467883292643</v>
      </c>
      <c r="C13" s="9">
        <v>482.04780967577398</v>
      </c>
      <c r="D13" s="9">
        <v>13.313382587573191</v>
      </c>
      <c r="E13" s="9">
        <v>11.552269369051711</v>
      </c>
      <c r="G13" s="10">
        <f t="shared" si="0"/>
        <v>1.6071673203832789E-2</v>
      </c>
      <c r="H13" s="11">
        <f t="shared" si="1"/>
        <v>1.6190240072360265</v>
      </c>
    </row>
    <row r="14" spans="1:8" x14ac:dyDescent="0.25">
      <c r="A14" t="s">
        <v>18</v>
      </c>
      <c r="B14">
        <v>552.56614760862647</v>
      </c>
      <c r="C14">
        <v>483.31652702493869</v>
      </c>
      <c r="D14">
        <v>14.32800591569975</v>
      </c>
      <c r="E14">
        <v>12.154593643544979</v>
      </c>
      <c r="G14" s="3">
        <f t="shared" si="0"/>
        <v>2.7867893768715457E-2</v>
      </c>
      <c r="H14" s="5">
        <f t="shared" si="1"/>
        <v>2.2213482817292949</v>
      </c>
    </row>
    <row r="15" spans="1:8" s="12" customFormat="1" x14ac:dyDescent="0.25">
      <c r="A15" s="12" t="s">
        <v>19</v>
      </c>
      <c r="B15" s="12">
        <v>468.00739707315398</v>
      </c>
      <c r="C15" s="12">
        <v>476.07298383236542</v>
      </c>
      <c r="D15" s="12">
        <v>-1.69419123393305</v>
      </c>
      <c r="E15" s="12">
        <v>-1.9154318772067751</v>
      </c>
      <c r="G15" s="13">
        <f t="shared" si="0"/>
        <v>-0.12942589845644809</v>
      </c>
      <c r="H15" s="14">
        <f t="shared" si="1"/>
        <v>-11.848677239022459</v>
      </c>
    </row>
    <row r="16" spans="1:8" s="12" customFormat="1" x14ac:dyDescent="0.25">
      <c r="A16" s="12" t="s">
        <v>20</v>
      </c>
      <c r="B16" s="12">
        <v>543.36354728106858</v>
      </c>
      <c r="C16" s="12">
        <v>483.31652702493869</v>
      </c>
      <c r="D16" s="12">
        <v>12.423953433943201</v>
      </c>
      <c r="E16" s="12">
        <v>10.5027406591411</v>
      </c>
      <c r="G16" s="13">
        <f t="shared" si="0"/>
        <v>1.0749477345960016E-2</v>
      </c>
      <c r="H16" s="14">
        <f t="shared" si="1"/>
        <v>0.56949529732541571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D20" sqref="D20:D21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4</v>
      </c>
    </row>
    <row r="2" spans="1:7" x14ac:dyDescent="0.25">
      <c r="A2" t="s">
        <v>6</v>
      </c>
      <c r="B2">
        <v>165.60392782975731</v>
      </c>
      <c r="C2">
        <v>920.23665546238385</v>
      </c>
      <c r="D2">
        <v>121.8905169362678</v>
      </c>
      <c r="E2">
        <v>1170.263131546571</v>
      </c>
    </row>
    <row r="3" spans="1:7" x14ac:dyDescent="0.25">
      <c r="A3" t="s">
        <v>7</v>
      </c>
      <c r="B3">
        <v>161.02229430371361</v>
      </c>
      <c r="C3">
        <v>922.92186881021939</v>
      </c>
      <c r="D3">
        <v>125.52882253259629</v>
      </c>
      <c r="E3">
        <v>1170.7038339778351</v>
      </c>
    </row>
    <row r="4" spans="1:7" x14ac:dyDescent="0.25">
      <c r="A4" t="s">
        <v>8</v>
      </c>
      <c r="B4">
        <v>199.00173209763969</v>
      </c>
      <c r="C4">
        <v>837.88113008196694</v>
      </c>
      <c r="D4">
        <v>163.38413816774559</v>
      </c>
      <c r="E4">
        <v>1169.4264129879</v>
      </c>
    </row>
    <row r="5" spans="1:7" x14ac:dyDescent="0.25">
      <c r="A5" t="s">
        <v>9</v>
      </c>
      <c r="B5">
        <v>176.2110940869859</v>
      </c>
      <c r="C5">
        <v>863.64209447330518</v>
      </c>
      <c r="D5">
        <v>163.7654744415577</v>
      </c>
      <c r="E5">
        <v>1170.6590924361381</v>
      </c>
    </row>
    <row r="6" spans="1:7" x14ac:dyDescent="0.25">
      <c r="A6" t="s">
        <v>10</v>
      </c>
      <c r="B6">
        <v>192.193886930037</v>
      </c>
      <c r="C6">
        <v>874.11129163826195</v>
      </c>
      <c r="D6">
        <v>138.87984774217239</v>
      </c>
      <c r="E6">
        <v>1169.3600136021471</v>
      </c>
    </row>
    <row r="7" spans="1:7" s="9" customFormat="1" x14ac:dyDescent="0.25">
      <c r="A7" s="9" t="s">
        <v>11</v>
      </c>
      <c r="B7" s="9">
        <v>159.26361098542421</v>
      </c>
      <c r="C7" s="9">
        <v>933.58640698869181</v>
      </c>
      <c r="D7" s="9">
        <v>115.9070220017085</v>
      </c>
      <c r="E7" s="9">
        <v>1170.870149058758</v>
      </c>
      <c r="G7" s="9">
        <f>D7-D2</f>
        <v>-5.9834949345593031</v>
      </c>
    </row>
    <row r="8" spans="1:7" x14ac:dyDescent="0.25">
      <c r="A8" t="s">
        <v>12</v>
      </c>
      <c r="B8">
        <v>259.49209814561891</v>
      </c>
      <c r="C8">
        <v>413.5700855197253</v>
      </c>
      <c r="D8">
        <v>510.55699299100718</v>
      </c>
      <c r="E8">
        <v>1172.68494633296</v>
      </c>
    </row>
    <row r="9" spans="1:7" x14ac:dyDescent="0.25">
      <c r="A9" t="s">
        <v>13</v>
      </c>
      <c r="B9">
        <v>181.10991013668561</v>
      </c>
      <c r="C9">
        <v>907.04883489652548</v>
      </c>
      <c r="D9">
        <v>117.73457876590849</v>
      </c>
      <c r="E9">
        <v>1169.566517520303</v>
      </c>
    </row>
    <row r="10" spans="1:7" x14ac:dyDescent="0.25">
      <c r="A10" t="s">
        <v>14</v>
      </c>
      <c r="B10">
        <v>159.30625884085941</v>
      </c>
      <c r="C10">
        <v>964.43477849540591</v>
      </c>
      <c r="D10">
        <v>90.709010644472301</v>
      </c>
      <c r="E10">
        <v>1171.061850742683</v>
      </c>
    </row>
    <row r="11" spans="1:7" x14ac:dyDescent="0.25">
      <c r="A11" t="s">
        <v>15</v>
      </c>
      <c r="B11">
        <v>167.38863221638741</v>
      </c>
      <c r="C11">
        <v>958.5394023368965</v>
      </c>
      <c r="D11">
        <v>84.763840987841434</v>
      </c>
      <c r="E11">
        <v>1170.4151994726781</v>
      </c>
    </row>
    <row r="12" spans="1:7" x14ac:dyDescent="0.25">
      <c r="A12" t="s">
        <v>16</v>
      </c>
      <c r="B12">
        <v>270.07577088741868</v>
      </c>
      <c r="C12">
        <v>508.64134245199159</v>
      </c>
      <c r="D12">
        <v>407.35316585321391</v>
      </c>
      <c r="E12">
        <v>1172.380638709169</v>
      </c>
    </row>
    <row r="13" spans="1:7" s="9" customFormat="1" x14ac:dyDescent="0.25">
      <c r="A13" s="9" t="s">
        <v>17</v>
      </c>
      <c r="B13" s="9">
        <v>180.5169621840661</v>
      </c>
      <c r="C13" s="9">
        <v>893.35213886113866</v>
      </c>
      <c r="D13" s="9">
        <v>131.36890595290109</v>
      </c>
      <c r="E13" s="9">
        <v>1169.6286729367889</v>
      </c>
    </row>
    <row r="14" spans="1:7" x14ac:dyDescent="0.25">
      <c r="A14" t="s">
        <v>18</v>
      </c>
      <c r="B14">
        <v>175.62765361542279</v>
      </c>
      <c r="C14">
        <v>934.70553854897366</v>
      </c>
      <c r="D14">
        <v>97.791448723807477</v>
      </c>
      <c r="E14">
        <v>1169.56106551982</v>
      </c>
    </row>
    <row r="15" spans="1:7" x14ac:dyDescent="0.25">
      <c r="A15" t="s">
        <v>19</v>
      </c>
      <c r="B15">
        <v>259.73142780148112</v>
      </c>
      <c r="C15">
        <v>401.27508561640923</v>
      </c>
      <c r="D15">
        <v>521.39794589864925</v>
      </c>
      <c r="E15">
        <v>1172.3217578633889</v>
      </c>
    </row>
    <row r="16" spans="1:7" x14ac:dyDescent="0.25">
      <c r="A16" t="s">
        <v>20</v>
      </c>
      <c r="B16">
        <v>170.029443620938</v>
      </c>
      <c r="C16">
        <v>948.82204237893711</v>
      </c>
      <c r="D16">
        <v>91.724372965335718</v>
      </c>
      <c r="E16">
        <v>1170.181270764363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Scenario</vt:lpstr>
      <vt:lpstr>Metrics</vt:lpstr>
      <vt:lpstr>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2025-12-13T02:12:53Z</dcterms:created>
  <dcterms:modified xsi:type="dcterms:W3CDTF">2025-12-16T15:59:54Z</dcterms:modified>
</cp:coreProperties>
</file>