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6\"/>
    </mc:Choice>
  </mc:AlternateContent>
  <xr:revisionPtr revIDLastSave="0" documentId="13_ncr:1_{1285A8AB-21D9-448E-BCCA-ADC5FE6E2D6A}" xr6:coauthVersionLast="47" xr6:coauthVersionMax="47" xr10:uidLastSave="{00000000-0000-0000-0000-000000000000}"/>
  <bookViews>
    <workbookView xWindow="864" yWindow="3012" windowWidth="23040" windowHeight="12120" activeTab="4" xr2:uid="{00000000-000D-0000-FFFF-FFFF00000000}"/>
  </bookViews>
  <sheets>
    <sheet name="Total_size" sheetId="1" r:id="rId1"/>
    <sheet name="Portion" sheetId="2" r:id="rId2"/>
    <sheet name="GW_tech" sheetId="3" r:id="rId3"/>
    <sheet name="ST_mass" sheetId="4" r:id="rId4"/>
    <sheet name="ED_prov" sheetId="5" r:id="rId5"/>
    <sheet name="ED_prov_abb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3" l="1"/>
  <c r="F17" i="3"/>
  <c r="F13" i="3"/>
  <c r="F19" i="3"/>
  <c r="F21" i="3"/>
  <c r="F10" i="3"/>
  <c r="F22" i="3"/>
  <c r="F28" i="3"/>
  <c r="F25" i="3"/>
  <c r="F7" i="3"/>
  <c r="F27" i="3"/>
  <c r="F15" i="3"/>
  <c r="F12" i="3"/>
  <c r="F2" i="3"/>
  <c r="F4" i="3"/>
  <c r="F9" i="3"/>
  <c r="F6" i="3"/>
  <c r="F8" i="3"/>
  <c r="F3" i="3"/>
  <c r="F14" i="3"/>
  <c r="F11" i="3"/>
  <c r="F23" i="3"/>
  <c r="F5" i="3"/>
  <c r="F20" i="3"/>
  <c r="F24" i="3"/>
  <c r="F26" i="3"/>
  <c r="F18" i="3"/>
  <c r="D2" i="5"/>
</calcChain>
</file>

<file path=xl/sharedStrings.xml><?xml version="1.0" encoding="utf-8"?>
<sst xmlns="http://schemas.openxmlformats.org/spreadsheetml/2006/main" count="186" uniqueCount="65">
  <si>
    <t>Prov</t>
  </si>
  <si>
    <t>Total_size</t>
  </si>
  <si>
    <t>Longitude</t>
  </si>
  <si>
    <t>Latitude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</si>
  <si>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</si>
  <si>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</si>
  <si>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</si>
  <si>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</si>
  <si>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</si>
  <si>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</si>
  <si>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</si>
  <si>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</si>
  <si>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</si>
  <si>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</si>
  <si>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</si>
  <si>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</si>
  <si>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</si>
  <si>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</si>
  <si>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</si>
  <si>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</si>
  <si>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</si>
  <si>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</si>
  <si>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</si>
  <si>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</si>
  <si>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</si>
  <si>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</si>
  <si>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</si>
  <si>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</si>
  <si>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</si>
  <si>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</si>
  <si>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</si>
  <si>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</si>
  <si>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</si>
  <si>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</si>
  <si>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</si>
  <si>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ED_prov</t>
  </si>
  <si>
    <t>AH</t>
  </si>
  <si>
    <t>GS</t>
  </si>
  <si>
    <t>GX</t>
  </si>
  <si>
    <t>GZ</t>
  </si>
  <si>
    <t>HI</t>
  </si>
  <si>
    <t>HB</t>
  </si>
  <si>
    <t>HN</t>
  </si>
  <si>
    <t>HL</t>
  </si>
  <si>
    <t>HU</t>
  </si>
  <si>
    <t>JL</t>
  </si>
  <si>
    <t>JS</t>
  </si>
  <si>
    <t>JX</t>
  </si>
  <si>
    <t>LN</t>
  </si>
  <si>
    <t>EIM</t>
  </si>
  <si>
    <t>WIM</t>
  </si>
  <si>
    <t>NX</t>
  </si>
  <si>
    <t>QH</t>
  </si>
  <si>
    <t>SD</t>
  </si>
  <si>
    <t>SN</t>
  </si>
  <si>
    <t>SX</t>
  </si>
  <si>
    <t>SH</t>
  </si>
  <si>
    <t>SC</t>
  </si>
  <si>
    <t>TJ</t>
  </si>
  <si>
    <t>XJ</t>
  </si>
  <si>
    <t>YN</t>
  </si>
  <si>
    <t>ZJ</t>
  </si>
  <si>
    <t>CQ</t>
  </si>
  <si>
    <t>华中</t>
    <phoneticPr fontId="3" type="noConversion"/>
  </si>
  <si>
    <t>西南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</si>
</sst>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/>
    <xf numFmtId="10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B5" sqref="B3:B5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>
        <v>111.4196852026983</v>
      </c>
      <c r="C2">
        <v>114.372517</v>
      </c>
      <c r="D2">
        <v>42.856555</v>
      </c>
    </row>
    <row r="3" spans="1:4" x14ac:dyDescent="0.25">
      <c r="A3" t="s">
        <v>23</v>
      </c>
      <c r="B3">
        <v>65.171885897446131</v>
      </c>
      <c r="C3">
        <v>108.485382</v>
      </c>
      <c r="D3">
        <v>33.343910000000001</v>
      </c>
    </row>
    <row r="4" spans="1:4" x14ac:dyDescent="0.25">
      <c r="A4" t="s">
        <v>19</v>
      </c>
      <c r="B4">
        <v>48.59982297325957</v>
      </c>
      <c r="C4">
        <v>105.810875</v>
      </c>
      <c r="D4">
        <v>37.817681</v>
      </c>
    </row>
    <row r="5" spans="1:4" x14ac:dyDescent="0.25">
      <c r="A5" t="s">
        <v>27</v>
      </c>
      <c r="B5">
        <v>39.242395015069683</v>
      </c>
      <c r="C5">
        <v>85.191590771393535</v>
      </c>
      <c r="D5">
        <v>41.117255344104287</v>
      </c>
    </row>
    <row r="6" spans="1:4" x14ac:dyDescent="0.25">
      <c r="A6" t="s">
        <v>21</v>
      </c>
      <c r="B6">
        <v>29.426915999999999</v>
      </c>
      <c r="C6">
        <v>119.450171</v>
      </c>
      <c r="D6">
        <v>35.598723999999997</v>
      </c>
    </row>
    <row r="7" spans="1:4" x14ac:dyDescent="0.25">
      <c r="A7" t="s">
        <v>22</v>
      </c>
      <c r="B7">
        <v>21.52537924650823</v>
      </c>
      <c r="C7">
        <v>112.28981728019561</v>
      </c>
      <c r="D7">
        <v>37.572757192880118</v>
      </c>
    </row>
    <row r="8" spans="1:4" x14ac:dyDescent="0.25">
      <c r="A8" t="s">
        <v>10</v>
      </c>
      <c r="B8">
        <v>19.93660866190174</v>
      </c>
      <c r="C8">
        <v>113.614601904431</v>
      </c>
      <c r="D8">
        <v>33.882638232172887</v>
      </c>
    </row>
    <row r="9" spans="1:4" x14ac:dyDescent="0.25">
      <c r="A9" t="s">
        <v>14</v>
      </c>
      <c r="B9">
        <v>18.535038070048071</v>
      </c>
      <c r="C9">
        <v>119.4892348816612</v>
      </c>
      <c r="D9">
        <v>32.965520436860672</v>
      </c>
    </row>
    <row r="10" spans="1:4" x14ac:dyDescent="0.25">
      <c r="A10" t="s">
        <v>20</v>
      </c>
      <c r="B10">
        <v>17.81934600448519</v>
      </c>
      <c r="C10">
        <v>96.039418797154511</v>
      </c>
      <c r="D10">
        <v>35.670780868499982</v>
      </c>
    </row>
    <row r="11" spans="1:4" x14ac:dyDescent="0.25">
      <c r="A11" t="s">
        <v>25</v>
      </c>
      <c r="B11">
        <v>13.13173853430763</v>
      </c>
      <c r="C11">
        <v>102.6927824668291</v>
      </c>
      <c r="D11">
        <v>30.629105446256709</v>
      </c>
    </row>
    <row r="12" spans="1:4" x14ac:dyDescent="0.25">
      <c r="A12" t="s">
        <v>7</v>
      </c>
      <c r="B12">
        <v>9.9088338255175685</v>
      </c>
      <c r="C12">
        <v>106.8745962783198</v>
      </c>
      <c r="D12">
        <v>26.815625234223219</v>
      </c>
    </row>
    <row r="13" spans="1:4" x14ac:dyDescent="0.25">
      <c r="A13" t="s">
        <v>17</v>
      </c>
      <c r="B13">
        <v>9.6356415150121553</v>
      </c>
      <c r="C13">
        <v>121.24477</v>
      </c>
      <c r="D13">
        <v>47.692197</v>
      </c>
    </row>
    <row r="14" spans="1:4" x14ac:dyDescent="0.25">
      <c r="A14" t="s">
        <v>4</v>
      </c>
      <c r="B14">
        <v>9.4356392296436375</v>
      </c>
      <c r="C14">
        <v>117.831209</v>
      </c>
      <c r="D14">
        <v>30.265032999999999</v>
      </c>
    </row>
    <row r="15" spans="1:4" x14ac:dyDescent="0.25">
      <c r="A15" t="s">
        <v>24</v>
      </c>
      <c r="B15">
        <v>7.444464</v>
      </c>
      <c r="C15">
        <v>121.48415147861721</v>
      </c>
      <c r="D15">
        <v>31.211936918417809</v>
      </c>
    </row>
    <row r="16" spans="1:4" x14ac:dyDescent="0.25">
      <c r="A16" t="s">
        <v>16</v>
      </c>
      <c r="B16">
        <v>7.2004192734605654</v>
      </c>
      <c r="C16">
        <v>123.195166287728</v>
      </c>
      <c r="D16">
        <v>41.0762825816835</v>
      </c>
    </row>
    <row r="17" spans="1:4" x14ac:dyDescent="0.25">
      <c r="A17" t="s">
        <v>5</v>
      </c>
      <c r="B17">
        <v>6.9454215893942619</v>
      </c>
      <c r="C17">
        <v>104.41268100000001</v>
      </c>
      <c r="D17">
        <v>34.749943999999999</v>
      </c>
    </row>
    <row r="18" spans="1:4" x14ac:dyDescent="0.25">
      <c r="A18" t="s">
        <v>6</v>
      </c>
      <c r="B18">
        <v>6.8013000452261583</v>
      </c>
      <c r="C18">
        <v>108.7883215005142</v>
      </c>
      <c r="D18">
        <v>23.821108787664961</v>
      </c>
    </row>
    <row r="19" spans="1:4" x14ac:dyDescent="0.25">
      <c r="A19" t="s">
        <v>28</v>
      </c>
      <c r="B19">
        <v>6.15629872657997</v>
      </c>
      <c r="C19">
        <v>101.48657210881549</v>
      </c>
      <c r="D19">
        <v>24.97527175307221</v>
      </c>
    </row>
    <row r="20" spans="1:4" x14ac:dyDescent="0.25">
      <c r="A20" t="s">
        <v>9</v>
      </c>
      <c r="B20">
        <v>5.5316731944818267</v>
      </c>
      <c r="C20">
        <v>115.476355</v>
      </c>
      <c r="D20">
        <v>40.988109000000001</v>
      </c>
    </row>
    <row r="21" spans="1:4" x14ac:dyDescent="0.25">
      <c r="A21" t="s">
        <v>11</v>
      </c>
      <c r="B21">
        <v>5.3574643611796704</v>
      </c>
      <c r="C21">
        <v>127.7672632852064</v>
      </c>
      <c r="D21">
        <v>47.861675972820599</v>
      </c>
    </row>
    <row r="22" spans="1:4" x14ac:dyDescent="0.25">
      <c r="A22" t="s">
        <v>8</v>
      </c>
      <c r="B22">
        <v>5.3190954662425316</v>
      </c>
      <c r="C22">
        <v>109.711102</v>
      </c>
      <c r="D22">
        <v>19.126199</v>
      </c>
    </row>
    <row r="23" spans="1:4" x14ac:dyDescent="0.25">
      <c r="A23" t="s">
        <v>30</v>
      </c>
      <c r="B23">
        <v>3.4991639999999999</v>
      </c>
      <c r="C23">
        <v>107.8744460430144</v>
      </c>
      <c r="D23">
        <v>30.05717027738056</v>
      </c>
    </row>
    <row r="24" spans="1:4" x14ac:dyDescent="0.25">
      <c r="A24" t="s">
        <v>26</v>
      </c>
      <c r="B24">
        <v>2.6175386352143382</v>
      </c>
      <c r="C24">
        <v>117.3415769933931</v>
      </c>
      <c r="D24">
        <v>39.283775371053643</v>
      </c>
    </row>
    <row r="25" spans="1:4" x14ac:dyDescent="0.25">
      <c r="A25" t="s">
        <v>15</v>
      </c>
      <c r="B25">
        <v>2.1061359353541089</v>
      </c>
      <c r="C25">
        <v>115.7220561072867</v>
      </c>
      <c r="D25">
        <v>27.4142925357772</v>
      </c>
    </row>
    <row r="26" spans="1:4" x14ac:dyDescent="0.25">
      <c r="A26" t="s">
        <v>29</v>
      </c>
      <c r="B26">
        <v>1.9191045179521891</v>
      </c>
      <c r="C26">
        <v>120.1394342239423</v>
      </c>
      <c r="D26">
        <v>29.18483739329271</v>
      </c>
    </row>
    <row r="27" spans="1:4" x14ac:dyDescent="0.25">
      <c r="A27" t="s">
        <v>12</v>
      </c>
      <c r="B27">
        <v>0.91871999999999998</v>
      </c>
      <c r="C27">
        <v>113.636625</v>
      </c>
      <c r="D27">
        <v>30.965187</v>
      </c>
    </row>
    <row r="28" spans="1:4" x14ac:dyDescent="0.25">
      <c r="A28" t="s">
        <v>13</v>
      </c>
      <c r="B28">
        <v>0.58615052867423234</v>
      </c>
      <c r="C28">
        <v>126.888295350211</v>
      </c>
      <c r="D28">
        <v>43.6682125968603</v>
      </c>
    </row>
  </sheetData>
  <sortState xmlns:xlrd2="http://schemas.microsoft.com/office/spreadsheetml/2017/richdata2" ref="A2:D28">
    <sortCondition descending="1" ref="B1:B28"/>
  </sortState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I2" sqref="I2"/>
    </sheetView>
  </sheetViews>
  <sheetFormatPr defaultRowHeight="14.4" x14ac:dyDescent="0.25"/>
  <sheetData>
    <row r="1" spans="1:8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</row>
    <row r="2" spans="1:8" x14ac:dyDescent="0.25">
      <c r="A2" t="s">
        <v>4</v>
      </c>
      <c r="B2">
        <v>0.45743495746251078</v>
      </c>
      <c r="C2">
        <v>0</v>
      </c>
      <c r="D2">
        <v>0.49334230428983972</v>
      </c>
      <c r="E2">
        <v>4.9222738247649299E-2</v>
      </c>
      <c r="F2">
        <v>9.4356392296436375</v>
      </c>
      <c r="G2">
        <v>117.831209</v>
      </c>
      <c r="H2">
        <v>30.265032999999999</v>
      </c>
    </row>
    <row r="3" spans="1:8" x14ac:dyDescent="0.25">
      <c r="A3" t="s">
        <v>5</v>
      </c>
      <c r="B3">
        <v>0</v>
      </c>
      <c r="C3">
        <v>0.75045028185954044</v>
      </c>
      <c r="D3">
        <v>0.19401270069158191</v>
      </c>
      <c r="E3">
        <v>5.5537017448877547E-2</v>
      </c>
      <c r="F3">
        <v>6.9454215893942619</v>
      </c>
      <c r="G3">
        <v>104.41268100000001</v>
      </c>
      <c r="H3">
        <v>34.749943999999999</v>
      </c>
    </row>
    <row r="4" spans="1:8" x14ac:dyDescent="0.25">
      <c r="A4" t="s">
        <v>6</v>
      </c>
      <c r="B4">
        <v>0</v>
      </c>
      <c r="C4">
        <v>0.75274785867146932</v>
      </c>
      <c r="D4">
        <v>0.20326996174361969</v>
      </c>
      <c r="E4">
        <v>4.398217958491097E-2</v>
      </c>
      <c r="F4">
        <v>6.8013000452261583</v>
      </c>
      <c r="G4">
        <v>108.7883215005142</v>
      </c>
      <c r="H4">
        <v>23.821108787664961</v>
      </c>
    </row>
    <row r="5" spans="1:8" x14ac:dyDescent="0.25">
      <c r="A5" t="s">
        <v>7</v>
      </c>
      <c r="B5">
        <v>0.20809604020245859</v>
      </c>
      <c r="C5">
        <v>0.56092339838112737</v>
      </c>
      <c r="D5">
        <v>0.16424738053521559</v>
      </c>
      <c r="E5">
        <v>6.6733180881198298E-2</v>
      </c>
      <c r="F5">
        <v>9.9088338255175685</v>
      </c>
      <c r="G5">
        <v>106.8745962783198</v>
      </c>
      <c r="H5">
        <v>26.815625234223219</v>
      </c>
    </row>
    <row r="6" spans="1:8" x14ac:dyDescent="0.25">
      <c r="A6" t="s">
        <v>8</v>
      </c>
      <c r="B6">
        <v>0.2108177170763994</v>
      </c>
      <c r="C6">
        <v>0.46580248819788411</v>
      </c>
      <c r="D6">
        <v>0.2434624473688573</v>
      </c>
      <c r="E6">
        <v>7.991734735685932E-2</v>
      </c>
      <c r="F6">
        <v>5.3190954662425316</v>
      </c>
      <c r="G6">
        <v>109.711102</v>
      </c>
      <c r="H6">
        <v>19.126199</v>
      </c>
    </row>
    <row r="7" spans="1:8" x14ac:dyDescent="0.25">
      <c r="A7" t="s">
        <v>9</v>
      </c>
      <c r="B7">
        <v>0.2181295569007724</v>
      </c>
      <c r="C7">
        <v>0.32378336692708432</v>
      </c>
      <c r="D7">
        <v>0.45239476592659028</v>
      </c>
      <c r="E7">
        <v>5.6923102455530379E-3</v>
      </c>
      <c r="F7">
        <v>5.5316731944818267</v>
      </c>
      <c r="G7">
        <v>115.476355</v>
      </c>
      <c r="H7">
        <v>40.988109000000001</v>
      </c>
    </row>
    <row r="8" spans="1:8" x14ac:dyDescent="0.25">
      <c r="A8" t="s">
        <v>10</v>
      </c>
      <c r="B8">
        <v>0.41647683843788552</v>
      </c>
      <c r="C8">
        <v>9.1764098310039663E-2</v>
      </c>
      <c r="D8">
        <v>0.32829053882706238</v>
      </c>
      <c r="E8">
        <v>0.1634685244250125</v>
      </c>
      <c r="F8">
        <v>19.93660866190174</v>
      </c>
      <c r="G8">
        <v>113.614601904431</v>
      </c>
      <c r="H8">
        <v>33.882638232172887</v>
      </c>
    </row>
    <row r="9" spans="1:8" x14ac:dyDescent="0.25">
      <c r="A9" t="s">
        <v>11</v>
      </c>
      <c r="B9">
        <v>0.2084774717202679</v>
      </c>
      <c r="C9">
        <v>0.30973490899043649</v>
      </c>
      <c r="D9">
        <v>0.4377070647435255</v>
      </c>
      <c r="E9">
        <v>4.4080554545770138E-2</v>
      </c>
      <c r="F9">
        <v>5.3574643611796704</v>
      </c>
      <c r="G9">
        <v>127.7672632852064</v>
      </c>
      <c r="H9">
        <v>47.861675972820599</v>
      </c>
    </row>
    <row r="10" spans="1:8" x14ac:dyDescent="0.25">
      <c r="A10" t="s">
        <v>12</v>
      </c>
      <c r="B10">
        <v>0</v>
      </c>
      <c r="C10">
        <v>0</v>
      </c>
      <c r="D10">
        <v>0.91431556948798332</v>
      </c>
      <c r="E10">
        <v>8.5684430512016713E-2</v>
      </c>
      <c r="F10">
        <v>0.91871999999999998</v>
      </c>
      <c r="G10">
        <v>113.636625</v>
      </c>
      <c r="H10">
        <v>30.965187</v>
      </c>
    </row>
    <row r="11" spans="1:8" x14ac:dyDescent="0.25">
      <c r="A11" t="s">
        <v>13</v>
      </c>
      <c r="B11">
        <v>0</v>
      </c>
      <c r="C11">
        <v>0.53429027758889347</v>
      </c>
      <c r="D11">
        <v>0.35826974424979607</v>
      </c>
      <c r="E11">
        <v>0.1074399781613103</v>
      </c>
      <c r="F11">
        <v>0.58615052867423234</v>
      </c>
      <c r="G11">
        <v>126.888295350211</v>
      </c>
      <c r="H11">
        <v>43.6682125968603</v>
      </c>
    </row>
    <row r="12" spans="1:8" x14ac:dyDescent="0.25">
      <c r="A12" t="s">
        <v>14</v>
      </c>
      <c r="B12">
        <v>0</v>
      </c>
      <c r="C12">
        <v>0.78560087198193196</v>
      </c>
      <c r="D12">
        <v>0.1642834499984441</v>
      </c>
      <c r="E12">
        <v>5.0115678019623897E-2</v>
      </c>
      <c r="F12">
        <v>18.535038070048071</v>
      </c>
      <c r="G12">
        <v>119.4892348816612</v>
      </c>
      <c r="H12">
        <v>32.965520436860672</v>
      </c>
    </row>
    <row r="13" spans="1:8" x14ac:dyDescent="0.25">
      <c r="A13" t="s">
        <v>15</v>
      </c>
      <c r="B13">
        <v>0</v>
      </c>
      <c r="C13">
        <v>1.7603771310171969E-2</v>
      </c>
      <c r="D13">
        <v>0.58994292777740198</v>
      </c>
      <c r="E13">
        <v>0.39245330091242597</v>
      </c>
      <c r="F13">
        <v>2.1061359353541089</v>
      </c>
      <c r="G13">
        <v>115.7220561072867</v>
      </c>
      <c r="H13">
        <v>27.4142925357772</v>
      </c>
    </row>
    <row r="14" spans="1:8" x14ac:dyDescent="0.25">
      <c r="A14" t="s">
        <v>16</v>
      </c>
      <c r="B14">
        <v>0</v>
      </c>
      <c r="C14">
        <v>0.76889179132477992</v>
      </c>
      <c r="D14">
        <v>0.16769856783904591</v>
      </c>
      <c r="E14">
        <v>6.3409640836174092E-2</v>
      </c>
      <c r="F14">
        <v>7.2004192734605654</v>
      </c>
      <c r="G14">
        <v>123.195166287728</v>
      </c>
      <c r="H14">
        <v>41.0762825816835</v>
      </c>
    </row>
    <row r="15" spans="1:8" x14ac:dyDescent="0.25">
      <c r="A15" t="s">
        <v>17</v>
      </c>
      <c r="B15">
        <v>0</v>
      </c>
      <c r="C15">
        <v>0.95687054158744556</v>
      </c>
      <c r="D15">
        <v>3.087495518969862E-2</v>
      </c>
      <c r="E15">
        <v>1.225450322285584E-2</v>
      </c>
      <c r="F15">
        <v>9.6356415150121553</v>
      </c>
      <c r="G15">
        <v>121.24477</v>
      </c>
      <c r="H15">
        <v>47.692197</v>
      </c>
    </row>
    <row r="16" spans="1:8" x14ac:dyDescent="0.25">
      <c r="A16" t="s">
        <v>18</v>
      </c>
      <c r="B16">
        <v>0</v>
      </c>
      <c r="C16">
        <v>0.65758707780771886</v>
      </c>
      <c r="D16">
        <v>0.27564698234541601</v>
      </c>
      <c r="E16">
        <v>6.6765939846865074E-2</v>
      </c>
      <c r="F16">
        <v>111.4196852026983</v>
      </c>
      <c r="G16">
        <v>114.372517</v>
      </c>
      <c r="H16">
        <v>42.856555</v>
      </c>
    </row>
    <row r="17" spans="1:8" x14ac:dyDescent="0.25">
      <c r="A17" t="s">
        <v>19</v>
      </c>
      <c r="B17">
        <v>0.28549348681653081</v>
      </c>
      <c r="C17">
        <v>0.38113608076616462</v>
      </c>
      <c r="D17">
        <v>0.25205853129835792</v>
      </c>
      <c r="E17">
        <v>8.1311901118946775E-2</v>
      </c>
      <c r="F17">
        <v>48.59982297325957</v>
      </c>
      <c r="G17">
        <v>105.810875</v>
      </c>
      <c r="H17">
        <v>37.817681</v>
      </c>
    </row>
    <row r="18" spans="1:8" x14ac:dyDescent="0.25">
      <c r="A18" t="s">
        <v>20</v>
      </c>
      <c r="B18">
        <v>0.59700743236073284</v>
      </c>
      <c r="C18">
        <v>0</v>
      </c>
      <c r="D18">
        <v>0.26516124659180551</v>
      </c>
      <c r="E18">
        <v>0.1378313210474616</v>
      </c>
      <c r="F18">
        <v>17.81934600448519</v>
      </c>
      <c r="G18">
        <v>96.039418797154511</v>
      </c>
      <c r="H18">
        <v>35.670780868499982</v>
      </c>
    </row>
    <row r="19" spans="1:8" x14ac:dyDescent="0.25">
      <c r="A19" t="s">
        <v>21</v>
      </c>
      <c r="B19">
        <v>0</v>
      </c>
      <c r="C19">
        <v>0.58144047442824109</v>
      </c>
      <c r="D19">
        <v>0.37763046593125837</v>
      </c>
      <c r="E19">
        <v>4.0929059640500552E-2</v>
      </c>
      <c r="F19">
        <v>29.426915999999999</v>
      </c>
      <c r="G19">
        <v>119.450171</v>
      </c>
      <c r="H19">
        <v>35.598723999999997</v>
      </c>
    </row>
    <row r="20" spans="1:8" x14ac:dyDescent="0.25">
      <c r="A20" t="s">
        <v>22</v>
      </c>
      <c r="B20">
        <v>0.50175818613092504</v>
      </c>
      <c r="C20">
        <v>0</v>
      </c>
      <c r="D20">
        <v>0.38779804547945901</v>
      </c>
      <c r="E20">
        <v>0.11044376838961591</v>
      </c>
      <c r="F20">
        <v>21.52537924650823</v>
      </c>
      <c r="G20">
        <v>112.28981728019561</v>
      </c>
      <c r="H20">
        <v>37.572757192880118</v>
      </c>
    </row>
    <row r="21" spans="1:8" x14ac:dyDescent="0.25">
      <c r="A21" t="s">
        <v>23</v>
      </c>
      <c r="B21">
        <v>0.16785111780653261</v>
      </c>
      <c r="C21">
        <v>0.50834803295600595</v>
      </c>
      <c r="D21">
        <v>0.26690956937125632</v>
      </c>
      <c r="E21">
        <v>5.6891279866205201E-2</v>
      </c>
      <c r="F21">
        <v>65.171885897446131</v>
      </c>
      <c r="G21">
        <v>108.485382</v>
      </c>
      <c r="H21">
        <v>33.343910000000001</v>
      </c>
    </row>
    <row r="22" spans="1:8" x14ac:dyDescent="0.25">
      <c r="A22" t="s">
        <v>24</v>
      </c>
      <c r="B22">
        <v>0</v>
      </c>
      <c r="C22">
        <v>0.81805755256523505</v>
      </c>
      <c r="D22">
        <v>0.16925328673763479</v>
      </c>
      <c r="E22">
        <v>1.268916069713011E-2</v>
      </c>
      <c r="F22">
        <v>7.444464</v>
      </c>
      <c r="G22">
        <v>121.48415147861721</v>
      </c>
      <c r="H22">
        <v>31.211936918417809</v>
      </c>
    </row>
    <row r="23" spans="1:8" x14ac:dyDescent="0.25">
      <c r="A23" t="s">
        <v>25</v>
      </c>
      <c r="B23">
        <v>0.74129975318008301</v>
      </c>
      <c r="C23">
        <v>0</v>
      </c>
      <c r="D23">
        <v>0.17057908929178231</v>
      </c>
      <c r="E23">
        <v>8.812115752813475E-2</v>
      </c>
      <c r="F23">
        <v>13.13173853430763</v>
      </c>
      <c r="G23">
        <v>102.6927824668291</v>
      </c>
      <c r="H23">
        <v>30.629105446256709</v>
      </c>
    </row>
    <row r="24" spans="1:8" x14ac:dyDescent="0.25">
      <c r="A24" t="s">
        <v>26</v>
      </c>
      <c r="B24">
        <v>0.28256075995766572</v>
      </c>
      <c r="C24">
        <v>0.3079935166510383</v>
      </c>
      <c r="D24">
        <v>0.27411247740427241</v>
      </c>
      <c r="E24">
        <v>0.13533324598702359</v>
      </c>
      <c r="F24">
        <v>2.6175386352143382</v>
      </c>
      <c r="G24">
        <v>117.3415769933931</v>
      </c>
      <c r="H24">
        <v>39.283775371053643</v>
      </c>
    </row>
    <row r="25" spans="1:8" x14ac:dyDescent="0.25">
      <c r="A25" t="s">
        <v>27</v>
      </c>
      <c r="B25">
        <v>0.44714563458346868</v>
      </c>
      <c r="C25">
        <v>0.1775029630787387</v>
      </c>
      <c r="D25">
        <v>0.25418937850682782</v>
      </c>
      <c r="E25">
        <v>0.1211620238309646</v>
      </c>
      <c r="F25">
        <v>39.242395015069683</v>
      </c>
      <c r="G25">
        <v>85.191590771393535</v>
      </c>
      <c r="H25">
        <v>41.117255344104287</v>
      </c>
    </row>
    <row r="26" spans="1:8" x14ac:dyDescent="0.25">
      <c r="A26" t="s">
        <v>28</v>
      </c>
      <c r="B26">
        <v>0.56811842340908492</v>
      </c>
      <c r="C26">
        <v>0</v>
      </c>
      <c r="D26">
        <v>0.28994694365515739</v>
      </c>
      <c r="E26">
        <v>0.14193463293575759</v>
      </c>
      <c r="F26">
        <v>6.15629872657997</v>
      </c>
      <c r="G26">
        <v>101.48657210881549</v>
      </c>
      <c r="H26">
        <v>24.97527175307221</v>
      </c>
    </row>
    <row r="27" spans="1:8" x14ac:dyDescent="0.25">
      <c r="A27" t="s">
        <v>29</v>
      </c>
      <c r="B27">
        <v>0</v>
      </c>
      <c r="C27">
        <v>0.61521011852550012</v>
      </c>
      <c r="D27">
        <v>0.31915927156149781</v>
      </c>
      <c r="E27">
        <v>6.5630609913002069E-2</v>
      </c>
      <c r="F27">
        <v>1.9191045179521891</v>
      </c>
      <c r="G27">
        <v>120.1394342239423</v>
      </c>
      <c r="H27">
        <v>29.18483739329271</v>
      </c>
    </row>
    <row r="28" spans="1:8" x14ac:dyDescent="0.25">
      <c r="A28" t="s">
        <v>30</v>
      </c>
      <c r="B28">
        <v>6.2872160321722548E-2</v>
      </c>
      <c r="C28">
        <v>0</v>
      </c>
      <c r="D28">
        <v>0.68516365623331732</v>
      </c>
      <c r="E28">
        <v>0.25196418344496002</v>
      </c>
      <c r="F28">
        <v>3.4991639999999999</v>
      </c>
      <c r="G28">
        <v>107.8744460430144</v>
      </c>
      <c r="H28">
        <v>30.05717027738056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opLeftCell="A7" workbookViewId="0">
      <selection activeCell="G25" sqref="G25"/>
    </sheetView>
  </sheetViews>
  <sheetFormatPr defaultRowHeight="14.4" x14ac:dyDescent="0.25"/>
  <sheetData>
    <row r="1" spans="1:6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6" x14ac:dyDescent="0.25">
      <c r="A2" t="s">
        <v>18</v>
      </c>
      <c r="C2">
        <v>73.268145202698335</v>
      </c>
      <c r="D2">
        <v>30.712499999999999</v>
      </c>
      <c r="E2">
        <v>7.4390400000000012</v>
      </c>
      <c r="F2">
        <f>B2+C2</f>
        <v>73.268145202698335</v>
      </c>
    </row>
    <row r="3" spans="1:6" x14ac:dyDescent="0.25">
      <c r="A3" t="s">
        <v>23</v>
      </c>
      <c r="B3">
        <v>10.93917389744613</v>
      </c>
      <c r="C3">
        <v>33.130000000000003</v>
      </c>
      <c r="D3">
        <v>17.395</v>
      </c>
      <c r="E3">
        <v>3.7077119999999999</v>
      </c>
      <c r="F3">
        <f>B3+C3</f>
        <v>44.069173897446134</v>
      </c>
    </row>
    <row r="4" spans="1:6" x14ac:dyDescent="0.25">
      <c r="A4" t="s">
        <v>19</v>
      </c>
      <c r="B4">
        <v>13.87493291930201</v>
      </c>
      <c r="C4">
        <v>18.523146053957561</v>
      </c>
      <c r="D4">
        <v>12.25</v>
      </c>
      <c r="E4">
        <v>3.9517440000000001</v>
      </c>
      <c r="F4">
        <f>B4+C4</f>
        <v>32.398078973259572</v>
      </c>
    </row>
    <row r="5" spans="1:6" x14ac:dyDescent="0.25">
      <c r="A5" t="s">
        <v>27</v>
      </c>
      <c r="B5">
        <v>17.54706562158848</v>
      </c>
      <c r="C5">
        <v>6.9656413934811923</v>
      </c>
      <c r="D5">
        <v>9.9749999999999996</v>
      </c>
      <c r="E5">
        <v>4.7546879999999998</v>
      </c>
      <c r="F5">
        <f>B5+C5</f>
        <v>24.512707015069672</v>
      </c>
    </row>
    <row r="6" spans="1:6" x14ac:dyDescent="0.25">
      <c r="A6" t="s">
        <v>21</v>
      </c>
      <c r="C6">
        <v>17.11</v>
      </c>
      <c r="D6">
        <v>11.112500000000001</v>
      </c>
      <c r="E6">
        <v>1.2044159999999999</v>
      </c>
      <c r="F6">
        <f>B6+C6</f>
        <v>17.11</v>
      </c>
    </row>
    <row r="7" spans="1:6" x14ac:dyDescent="0.25">
      <c r="A7" t="s">
        <v>14</v>
      </c>
      <c r="C7">
        <v>14.561142070048071</v>
      </c>
      <c r="D7">
        <v>3.0449999999999999</v>
      </c>
      <c r="E7">
        <v>0.92889600000000005</v>
      </c>
      <c r="F7">
        <f>B7+C7</f>
        <v>14.561142070048071</v>
      </c>
    </row>
    <row r="8" spans="1:6" x14ac:dyDescent="0.25">
      <c r="A8" t="s">
        <v>22</v>
      </c>
      <c r="B8">
        <v>10.800535246508231</v>
      </c>
      <c r="D8">
        <v>8.3475000000000001</v>
      </c>
      <c r="E8">
        <v>2.3773439999999999</v>
      </c>
      <c r="F8">
        <f>B8+C8</f>
        <v>10.800535246508231</v>
      </c>
    </row>
    <row r="9" spans="1:6" x14ac:dyDescent="0.25">
      <c r="A9" t="s">
        <v>20</v>
      </c>
      <c r="B9">
        <v>10.638282004485189</v>
      </c>
      <c r="D9">
        <v>4.7250000000000014</v>
      </c>
      <c r="E9">
        <v>2.456064</v>
      </c>
      <c r="F9">
        <f>B9+C9</f>
        <v>10.638282004485189</v>
      </c>
    </row>
    <row r="10" spans="1:6" x14ac:dyDescent="0.25">
      <c r="A10" t="s">
        <v>10</v>
      </c>
      <c r="B10">
        <v>8.3031357446821978</v>
      </c>
      <c r="C10">
        <v>1.829464917219539</v>
      </c>
      <c r="D10">
        <v>6.5449999999999999</v>
      </c>
      <c r="E10">
        <v>3.2590080000000001</v>
      </c>
      <c r="F10">
        <f>B10+C10</f>
        <v>10.132600661901737</v>
      </c>
    </row>
    <row r="11" spans="1:6" x14ac:dyDescent="0.25">
      <c r="A11" t="s">
        <v>25</v>
      </c>
      <c r="B11">
        <v>9.7345545343076303</v>
      </c>
      <c r="D11">
        <v>2.2400000000000002</v>
      </c>
      <c r="E11">
        <v>1.157184</v>
      </c>
      <c r="F11">
        <f>B11+C11</f>
        <v>9.7345545343076303</v>
      </c>
    </row>
    <row r="12" spans="1:6" x14ac:dyDescent="0.25">
      <c r="A12" t="s">
        <v>17</v>
      </c>
      <c r="C12">
        <v>9.220061515012155</v>
      </c>
      <c r="D12">
        <v>0.29749999999999999</v>
      </c>
      <c r="E12">
        <v>0.11808</v>
      </c>
      <c r="F12">
        <f>B12+C12</f>
        <v>9.220061515012155</v>
      </c>
    </row>
    <row r="13" spans="1:6" x14ac:dyDescent="0.25">
      <c r="A13" t="s">
        <v>7</v>
      </c>
      <c r="B13">
        <v>2.061989082114386</v>
      </c>
      <c r="C13">
        <v>5.5580967434031816</v>
      </c>
      <c r="D13">
        <v>1.6274999999999999</v>
      </c>
      <c r="E13">
        <v>0.66124800000000006</v>
      </c>
      <c r="F13">
        <f>B13+C13</f>
        <v>7.6200858255175676</v>
      </c>
    </row>
    <row r="14" spans="1:6" x14ac:dyDescent="0.25">
      <c r="A14" t="s">
        <v>24</v>
      </c>
      <c r="C14">
        <v>6.09</v>
      </c>
      <c r="D14">
        <v>1.26</v>
      </c>
      <c r="E14">
        <v>9.446400000000002E-2</v>
      </c>
      <c r="F14">
        <f>B14+C14</f>
        <v>6.09</v>
      </c>
    </row>
    <row r="15" spans="1:6" x14ac:dyDescent="0.25">
      <c r="A15" t="s">
        <v>16</v>
      </c>
      <c r="C15">
        <v>5.536343273460564</v>
      </c>
      <c r="D15">
        <v>1.2075</v>
      </c>
      <c r="E15">
        <v>0.45657599999999998</v>
      </c>
      <c r="F15">
        <f>B15+C15</f>
        <v>5.536343273460564</v>
      </c>
    </row>
    <row r="16" spans="1:6" x14ac:dyDescent="0.25">
      <c r="A16" t="s">
        <v>5</v>
      </c>
      <c r="C16">
        <v>5.2121935893942606</v>
      </c>
      <c r="D16">
        <v>1.3474999999999999</v>
      </c>
      <c r="E16">
        <v>0.38572800000000002</v>
      </c>
      <c r="F16">
        <f>B16+C16</f>
        <v>5.2121935893942606</v>
      </c>
    </row>
    <row r="17" spans="1:7" x14ac:dyDescent="0.25">
      <c r="A17" t="s">
        <v>6</v>
      </c>
      <c r="C17">
        <v>5.1196640452261581</v>
      </c>
      <c r="D17">
        <v>1.3825000000000001</v>
      </c>
      <c r="E17">
        <v>0.29913600000000001</v>
      </c>
      <c r="F17">
        <f>B17+C17</f>
        <v>5.1196640452261581</v>
      </c>
    </row>
    <row r="18" spans="1:7" x14ac:dyDescent="0.25">
      <c r="A18" t="s">
        <v>4</v>
      </c>
      <c r="B18">
        <v>4.3161912296436364</v>
      </c>
      <c r="D18">
        <v>4.6550000000000002</v>
      </c>
      <c r="E18">
        <v>0.46444800000000003</v>
      </c>
      <c r="F18">
        <f>B18+C18</f>
        <v>4.3161912296436364</v>
      </c>
    </row>
    <row r="19" spans="1:7" x14ac:dyDescent="0.25">
      <c r="A19" t="s">
        <v>8</v>
      </c>
      <c r="B19">
        <v>1.1213595631046771</v>
      </c>
      <c r="C19">
        <v>2.4776479031378562</v>
      </c>
      <c r="D19">
        <v>1.2949999999999999</v>
      </c>
      <c r="E19">
        <v>0.42508800000000002</v>
      </c>
      <c r="F19">
        <f>B19+C19</f>
        <v>3.5990074662425333</v>
      </c>
    </row>
    <row r="20" spans="1:7" x14ac:dyDescent="0.25">
      <c r="A20" t="s">
        <v>28</v>
      </c>
      <c r="B20">
        <v>3.49750672657997</v>
      </c>
      <c r="D20">
        <v>1.7849999999999999</v>
      </c>
      <c r="E20">
        <v>0.87379200000000012</v>
      </c>
      <c r="F20">
        <f>B20+C20</f>
        <v>3.49750672657997</v>
      </c>
    </row>
    <row r="21" spans="1:7" x14ac:dyDescent="0.25">
      <c r="A21" t="s">
        <v>9</v>
      </c>
      <c r="B21">
        <v>1.206621422832201</v>
      </c>
      <c r="C21">
        <v>1.791063771649626</v>
      </c>
      <c r="D21">
        <v>2.5024999999999999</v>
      </c>
      <c r="E21">
        <v>3.1488000000000002E-2</v>
      </c>
      <c r="F21">
        <f>B21+C21</f>
        <v>2.9976851944818268</v>
      </c>
    </row>
    <row r="22" spans="1:7" x14ac:dyDescent="0.25">
      <c r="A22" t="s">
        <v>11</v>
      </c>
      <c r="B22">
        <v>1.1169106248501779</v>
      </c>
      <c r="C22">
        <v>1.6593937363294919</v>
      </c>
      <c r="D22">
        <v>2.3450000000000002</v>
      </c>
      <c r="E22">
        <v>0.23616000000000001</v>
      </c>
      <c r="F22">
        <f>B22+C22</f>
        <v>2.7763043611796698</v>
      </c>
    </row>
    <row r="23" spans="1:7" x14ac:dyDescent="0.25">
      <c r="A23" t="s">
        <v>26</v>
      </c>
      <c r="B23">
        <v>0.73961370598471432</v>
      </c>
      <c r="C23">
        <v>0.80618492922962315</v>
      </c>
      <c r="D23">
        <v>0.71750000000000003</v>
      </c>
      <c r="E23">
        <v>0.35424</v>
      </c>
      <c r="F23">
        <f>B23+C23</f>
        <v>1.5457986352143376</v>
      </c>
    </row>
    <row r="24" spans="1:7" x14ac:dyDescent="0.25">
      <c r="A24" t="s">
        <v>29</v>
      </c>
      <c r="C24">
        <v>1.180652517952189</v>
      </c>
      <c r="D24">
        <v>0.61250000000000004</v>
      </c>
      <c r="E24">
        <v>0.12595200000000001</v>
      </c>
      <c r="F24">
        <f>B24+C24</f>
        <v>1.180652517952189</v>
      </c>
    </row>
    <row r="25" spans="1:7" x14ac:dyDescent="0.25">
      <c r="A25" t="s">
        <v>13</v>
      </c>
      <c r="C25">
        <v>0.31317452867423229</v>
      </c>
      <c r="D25">
        <v>0.21</v>
      </c>
      <c r="E25">
        <v>6.2976000000000004E-2</v>
      </c>
      <c r="F25">
        <f>B25+C25</f>
        <v>0.31317452867423229</v>
      </c>
    </row>
    <row r="26" spans="1:7" x14ac:dyDescent="0.25">
      <c r="A26" t="s">
        <v>30</v>
      </c>
      <c r="B26">
        <v>0.22</v>
      </c>
      <c r="D26">
        <v>2.3975</v>
      </c>
      <c r="E26">
        <v>0.88166400000000011</v>
      </c>
      <c r="F26">
        <f>B26+C26</f>
        <v>0.22</v>
      </c>
      <c r="G26" t="s">
        <v>64</v>
      </c>
    </row>
    <row r="27" spans="1:7" x14ac:dyDescent="0.25">
      <c r="A27" t="s">
        <v>15</v>
      </c>
      <c r="C27">
        <v>3.7075935354108858E-2</v>
      </c>
      <c r="D27">
        <v>1.2424999999999999</v>
      </c>
      <c r="E27">
        <v>0.82655999999999996</v>
      </c>
      <c r="F27">
        <f>B27+C27</f>
        <v>3.7075935354108858E-2</v>
      </c>
      <c r="G27" t="s">
        <v>63</v>
      </c>
    </row>
    <row r="28" spans="1:7" x14ac:dyDescent="0.25">
      <c r="A28" t="s">
        <v>12</v>
      </c>
      <c r="D28">
        <v>0.84</v>
      </c>
      <c r="E28">
        <v>7.8719999999999998E-2</v>
      </c>
      <c r="F28">
        <f>B28+C28</f>
        <v>0</v>
      </c>
      <c r="G28" t="s">
        <v>63</v>
      </c>
    </row>
  </sheetData>
  <sortState xmlns:xlrd2="http://schemas.microsoft.com/office/spreadsheetml/2017/richdata2" ref="A2:F28">
    <sortCondition descending="1" ref="F1:F28"/>
  </sortState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topLeftCell="A13" workbookViewId="0"/>
  </sheetViews>
  <sheetFormatPr defaultRowHeight="14.4" x14ac:dyDescent="0.25"/>
  <sheetData>
    <row r="1" spans="1:2" x14ac:dyDescent="0.25">
      <c r="A1" s="1" t="s">
        <v>4</v>
      </c>
      <c r="B1" s="1">
        <v>11.8</v>
      </c>
    </row>
    <row r="2" spans="1:2" x14ac:dyDescent="0.25">
      <c r="A2" t="s">
        <v>5</v>
      </c>
      <c r="B2">
        <v>9.8000000000000007</v>
      </c>
    </row>
    <row r="3" spans="1:2" x14ac:dyDescent="0.25">
      <c r="A3" t="s">
        <v>6</v>
      </c>
      <c r="B3">
        <v>7.6000000000000014</v>
      </c>
    </row>
    <row r="4" spans="1:2" x14ac:dyDescent="0.25">
      <c r="A4" t="s">
        <v>7</v>
      </c>
      <c r="B4">
        <v>16.8</v>
      </c>
    </row>
    <row r="5" spans="1:2" x14ac:dyDescent="0.25">
      <c r="A5" t="s">
        <v>8</v>
      </c>
      <c r="B5">
        <v>10.8</v>
      </c>
    </row>
    <row r="6" spans="1:2" x14ac:dyDescent="0.25">
      <c r="A6" t="s">
        <v>9</v>
      </c>
      <c r="B6">
        <v>0.8</v>
      </c>
    </row>
    <row r="7" spans="1:2" x14ac:dyDescent="0.25">
      <c r="A7" t="s">
        <v>10</v>
      </c>
      <c r="B7">
        <v>82.800000000000011</v>
      </c>
    </row>
    <row r="8" spans="1:2" x14ac:dyDescent="0.25">
      <c r="A8" t="s">
        <v>11</v>
      </c>
      <c r="B8">
        <v>6</v>
      </c>
    </row>
    <row r="9" spans="1:2" x14ac:dyDescent="0.25">
      <c r="A9" t="s">
        <v>12</v>
      </c>
      <c r="B9">
        <v>2</v>
      </c>
    </row>
    <row r="10" spans="1:2" x14ac:dyDescent="0.25">
      <c r="A10" t="s">
        <v>13</v>
      </c>
      <c r="B10">
        <v>1.6</v>
      </c>
    </row>
    <row r="11" spans="1:2" x14ac:dyDescent="0.25">
      <c r="A11" t="s">
        <v>14</v>
      </c>
      <c r="B11">
        <v>23.6</v>
      </c>
    </row>
    <row r="12" spans="1:2" x14ac:dyDescent="0.25">
      <c r="A12" t="s">
        <v>15</v>
      </c>
      <c r="B12">
        <v>21</v>
      </c>
    </row>
    <row r="13" spans="1:2" x14ac:dyDescent="0.25">
      <c r="A13" t="s">
        <v>16</v>
      </c>
      <c r="B13">
        <v>11.6</v>
      </c>
    </row>
    <row r="14" spans="1:2" x14ac:dyDescent="0.25">
      <c r="A14" t="s">
        <v>17</v>
      </c>
      <c r="B14">
        <v>3</v>
      </c>
    </row>
    <row r="15" spans="1:2" x14ac:dyDescent="0.25">
      <c r="A15" t="s">
        <v>18</v>
      </c>
      <c r="B15">
        <v>189</v>
      </c>
    </row>
    <row r="16" spans="1:2" x14ac:dyDescent="0.25">
      <c r="A16" t="s">
        <v>19</v>
      </c>
      <c r="B16">
        <v>100.4</v>
      </c>
    </row>
    <row r="17" spans="1:2" x14ac:dyDescent="0.25">
      <c r="A17" t="s">
        <v>20</v>
      </c>
      <c r="B17">
        <v>62.400000000000013</v>
      </c>
    </row>
    <row r="18" spans="1:2" x14ac:dyDescent="0.25">
      <c r="A18" t="s">
        <v>21</v>
      </c>
      <c r="B18">
        <v>30.6</v>
      </c>
    </row>
    <row r="19" spans="1:2" x14ac:dyDescent="0.25">
      <c r="A19" t="s">
        <v>22</v>
      </c>
      <c r="B19">
        <v>60.400000000000013</v>
      </c>
    </row>
    <row r="20" spans="1:2" x14ac:dyDescent="0.25">
      <c r="A20" t="s">
        <v>23</v>
      </c>
      <c r="B20">
        <v>94.2</v>
      </c>
    </row>
    <row r="21" spans="1:2" x14ac:dyDescent="0.25">
      <c r="A21" t="s">
        <v>24</v>
      </c>
      <c r="B21">
        <v>2.4</v>
      </c>
    </row>
    <row r="22" spans="1:2" x14ac:dyDescent="0.25">
      <c r="A22" t="s">
        <v>25</v>
      </c>
      <c r="B22">
        <v>29.4</v>
      </c>
    </row>
    <row r="23" spans="1:2" x14ac:dyDescent="0.25">
      <c r="A23" t="s">
        <v>26</v>
      </c>
      <c r="B23">
        <v>9</v>
      </c>
    </row>
    <row r="24" spans="1:2" x14ac:dyDescent="0.25">
      <c r="A24" t="s">
        <v>27</v>
      </c>
      <c r="B24">
        <v>120.8</v>
      </c>
    </row>
    <row r="25" spans="1:2" x14ac:dyDescent="0.25">
      <c r="A25" t="s">
        <v>28</v>
      </c>
      <c r="B25">
        <v>22.2</v>
      </c>
    </row>
    <row r="26" spans="1:2" x14ac:dyDescent="0.25">
      <c r="A26" t="s">
        <v>29</v>
      </c>
      <c r="B26">
        <v>3.2</v>
      </c>
    </row>
    <row r="27" spans="1:2" x14ac:dyDescent="0.25">
      <c r="A27" t="s">
        <v>30</v>
      </c>
      <c r="B27">
        <v>22.4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tabSelected="1" topLeftCell="A4" workbookViewId="0">
      <selection activeCell="D3" sqref="D3"/>
    </sheetView>
  </sheetViews>
  <sheetFormatPr defaultRowHeight="14.4" x14ac:dyDescent="0.25"/>
  <cols>
    <col min="2" max="2" width="26.21875" customWidth="1"/>
  </cols>
  <sheetData>
    <row r="1" spans="1:4" x14ac:dyDescent="0.25">
      <c r="A1" s="1" t="s">
        <v>0</v>
      </c>
      <c r="B1" s="1" t="s">
        <v>35</v>
      </c>
    </row>
    <row r="2" spans="1:4" x14ac:dyDescent="0.25">
      <c r="A2" t="s">
        <v>4</v>
      </c>
      <c r="B2" s="2">
        <v>0.60479673814057722</v>
      </c>
      <c r="D2" s="3">
        <f>MIN(B2:B28)</f>
        <v>0.55978402689069462</v>
      </c>
    </row>
    <row r="3" spans="1:4" x14ac:dyDescent="0.25">
      <c r="A3" t="s">
        <v>5</v>
      </c>
      <c r="B3" s="2">
        <v>0.99964129108816724</v>
      </c>
    </row>
    <row r="4" spans="1:4" x14ac:dyDescent="0.25">
      <c r="A4" t="s">
        <v>6</v>
      </c>
      <c r="B4" s="2">
        <v>0.60507671138308905</v>
      </c>
    </row>
    <row r="5" spans="1:4" x14ac:dyDescent="0.25">
      <c r="A5" t="s">
        <v>7</v>
      </c>
      <c r="B5" s="2">
        <v>0.60514064347529384</v>
      </c>
    </row>
    <row r="6" spans="1:4" x14ac:dyDescent="0.25">
      <c r="A6" t="s">
        <v>8</v>
      </c>
      <c r="B6" s="2">
        <v>0.62330016653862186</v>
      </c>
    </row>
    <row r="7" spans="1:4" x14ac:dyDescent="0.25">
      <c r="A7" t="s">
        <v>9</v>
      </c>
      <c r="B7" s="2">
        <v>0.98742162396305377</v>
      </c>
    </row>
    <row r="8" spans="1:4" x14ac:dyDescent="0.25">
      <c r="A8" t="s">
        <v>10</v>
      </c>
      <c r="B8" s="2">
        <v>0.60479678524751956</v>
      </c>
    </row>
    <row r="9" spans="1:4" x14ac:dyDescent="0.25">
      <c r="A9" t="s">
        <v>11</v>
      </c>
      <c r="B9" s="2">
        <v>0.98811710324725088</v>
      </c>
    </row>
    <row r="10" spans="1:4" x14ac:dyDescent="0.25">
      <c r="A10" t="s">
        <v>12</v>
      </c>
      <c r="B10" s="2">
        <v>0.60496235835860801</v>
      </c>
    </row>
    <row r="11" spans="1:4" x14ac:dyDescent="0.25">
      <c r="A11" t="s">
        <v>13</v>
      </c>
      <c r="B11" s="2">
        <v>1</v>
      </c>
    </row>
    <row r="12" spans="1:4" x14ac:dyDescent="0.25">
      <c r="A12" t="s">
        <v>14</v>
      </c>
      <c r="B12" s="2">
        <v>0.99999999999999978</v>
      </c>
    </row>
    <row r="13" spans="1:4" x14ac:dyDescent="0.25">
      <c r="A13" t="s">
        <v>15</v>
      </c>
      <c r="B13" s="2">
        <v>0.60479673814058177</v>
      </c>
    </row>
    <row r="14" spans="1:4" x14ac:dyDescent="0.25">
      <c r="A14" t="s">
        <v>16</v>
      </c>
      <c r="B14" s="2">
        <v>1</v>
      </c>
    </row>
    <row r="15" spans="1:4" x14ac:dyDescent="0.25">
      <c r="A15" t="s">
        <v>17</v>
      </c>
      <c r="B15" s="2">
        <v>1</v>
      </c>
    </row>
    <row r="16" spans="1:4" x14ac:dyDescent="0.25">
      <c r="A16" t="s">
        <v>18</v>
      </c>
      <c r="B16" s="2">
        <v>1</v>
      </c>
    </row>
    <row r="17" spans="1:2" x14ac:dyDescent="0.25">
      <c r="A17" t="s">
        <v>19</v>
      </c>
      <c r="B17" s="2">
        <v>0.60479678524752711</v>
      </c>
    </row>
    <row r="18" spans="1:2" x14ac:dyDescent="0.25">
      <c r="A18" t="s">
        <v>20</v>
      </c>
      <c r="B18" s="2">
        <v>0.65303257039170826</v>
      </c>
    </row>
    <row r="19" spans="1:2" x14ac:dyDescent="0.25">
      <c r="A19" t="s">
        <v>21</v>
      </c>
      <c r="B19" s="2">
        <v>0.9940316578456706</v>
      </c>
    </row>
    <row r="20" spans="1:2" x14ac:dyDescent="0.25">
      <c r="A20" t="s">
        <v>22</v>
      </c>
      <c r="B20" s="2">
        <v>0.60511005772174908</v>
      </c>
    </row>
    <row r="21" spans="1:2" x14ac:dyDescent="0.25">
      <c r="A21" t="s">
        <v>23</v>
      </c>
      <c r="B21" s="2">
        <v>0.60479678524753344</v>
      </c>
    </row>
    <row r="22" spans="1:2" x14ac:dyDescent="0.25">
      <c r="A22" t="s">
        <v>24</v>
      </c>
      <c r="B22" s="2">
        <v>1</v>
      </c>
    </row>
    <row r="23" spans="1:2" x14ac:dyDescent="0.25">
      <c r="A23" t="s">
        <v>25</v>
      </c>
      <c r="B23" s="2">
        <v>0.60892073554111192</v>
      </c>
    </row>
    <row r="24" spans="1:2" x14ac:dyDescent="0.25">
      <c r="A24" t="s">
        <v>26</v>
      </c>
      <c r="B24" s="2">
        <v>0.60454527501531485</v>
      </c>
    </row>
    <row r="25" spans="1:2" x14ac:dyDescent="0.25">
      <c r="A25" t="s">
        <v>27</v>
      </c>
      <c r="B25" s="2">
        <v>0.86028247461583884</v>
      </c>
    </row>
    <row r="26" spans="1:2" x14ac:dyDescent="0.25">
      <c r="A26" t="s">
        <v>28</v>
      </c>
      <c r="B26" s="2">
        <v>0.60846379010487561</v>
      </c>
    </row>
    <row r="27" spans="1:2" x14ac:dyDescent="0.25">
      <c r="A27" t="s">
        <v>29</v>
      </c>
      <c r="B27" s="2">
        <v>0.60591919783565285</v>
      </c>
    </row>
    <row r="28" spans="1:2" x14ac:dyDescent="0.25">
      <c r="A28" t="s">
        <v>30</v>
      </c>
      <c r="B28" s="2">
        <v>0.55978402689069462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35</v>
      </c>
    </row>
    <row r="2" spans="1:2" x14ac:dyDescent="0.25">
      <c r="A2" t="s">
        <v>36</v>
      </c>
      <c r="B2">
        <v>0.60479673814057722</v>
      </c>
    </row>
    <row r="3" spans="1:2" x14ac:dyDescent="0.25">
      <c r="A3" t="s">
        <v>37</v>
      </c>
      <c r="B3">
        <v>0.99964129108816724</v>
      </c>
    </row>
    <row r="4" spans="1:2" x14ac:dyDescent="0.25">
      <c r="A4" t="s">
        <v>38</v>
      </c>
      <c r="B4">
        <v>0.60507671138308905</v>
      </c>
    </row>
    <row r="5" spans="1:2" x14ac:dyDescent="0.25">
      <c r="A5" t="s">
        <v>39</v>
      </c>
      <c r="B5">
        <v>0.60514064347529384</v>
      </c>
    </row>
    <row r="6" spans="1:2" x14ac:dyDescent="0.25">
      <c r="A6" t="s">
        <v>40</v>
      </c>
      <c r="B6">
        <v>0.62330016653862186</v>
      </c>
    </row>
    <row r="7" spans="1:2" x14ac:dyDescent="0.25">
      <c r="A7" t="s">
        <v>41</v>
      </c>
      <c r="B7">
        <v>0.98742162396305377</v>
      </c>
    </row>
    <row r="8" spans="1:2" x14ac:dyDescent="0.25">
      <c r="A8" t="s">
        <v>42</v>
      </c>
      <c r="B8">
        <v>0.60479678524751956</v>
      </c>
    </row>
    <row r="9" spans="1:2" x14ac:dyDescent="0.25">
      <c r="A9" t="s">
        <v>43</v>
      </c>
      <c r="B9">
        <v>0.98811710324725088</v>
      </c>
    </row>
    <row r="10" spans="1:2" x14ac:dyDescent="0.25">
      <c r="A10" t="s">
        <v>44</v>
      </c>
      <c r="B10">
        <v>0.60496235835860801</v>
      </c>
    </row>
    <row r="11" spans="1:2" x14ac:dyDescent="0.25">
      <c r="A11" t="s">
        <v>45</v>
      </c>
      <c r="B11">
        <v>1</v>
      </c>
    </row>
    <row r="12" spans="1:2" x14ac:dyDescent="0.25">
      <c r="A12" t="s">
        <v>46</v>
      </c>
      <c r="B12">
        <v>0.99999999999999978</v>
      </c>
    </row>
    <row r="13" spans="1:2" x14ac:dyDescent="0.25">
      <c r="A13" t="s">
        <v>47</v>
      </c>
      <c r="B13">
        <v>0.60479673814058177</v>
      </c>
    </row>
    <row r="14" spans="1:2" x14ac:dyDescent="0.25">
      <c r="A14" t="s">
        <v>48</v>
      </c>
      <c r="B14">
        <v>1</v>
      </c>
    </row>
    <row r="15" spans="1:2" x14ac:dyDescent="0.25">
      <c r="A15" t="s">
        <v>49</v>
      </c>
      <c r="B15">
        <v>1</v>
      </c>
    </row>
    <row r="16" spans="1:2" x14ac:dyDescent="0.25">
      <c r="A16" t="s">
        <v>50</v>
      </c>
      <c r="B16">
        <v>1</v>
      </c>
    </row>
    <row r="17" spans="1:2" x14ac:dyDescent="0.25">
      <c r="A17" t="s">
        <v>51</v>
      </c>
      <c r="B17">
        <v>0.60479678524752711</v>
      </c>
    </row>
    <row r="18" spans="1:2" x14ac:dyDescent="0.25">
      <c r="A18" t="s">
        <v>52</v>
      </c>
      <c r="B18">
        <v>0.65303257039170826</v>
      </c>
    </row>
    <row r="19" spans="1:2" x14ac:dyDescent="0.25">
      <c r="A19" t="s">
        <v>53</v>
      </c>
      <c r="B19">
        <v>0.9940316578456706</v>
      </c>
    </row>
    <row r="20" spans="1:2" x14ac:dyDescent="0.25">
      <c r="A20" t="s">
        <v>54</v>
      </c>
      <c r="B20">
        <v>0.60511005772174908</v>
      </c>
    </row>
    <row r="21" spans="1:2" x14ac:dyDescent="0.25">
      <c r="A21" t="s">
        <v>55</v>
      </c>
      <c r="B21">
        <v>0.60479678524753344</v>
      </c>
    </row>
    <row r="22" spans="1:2" x14ac:dyDescent="0.25">
      <c r="A22" t="s">
        <v>56</v>
      </c>
      <c r="B22">
        <v>1</v>
      </c>
    </row>
    <row r="23" spans="1:2" x14ac:dyDescent="0.25">
      <c r="A23" t="s">
        <v>57</v>
      </c>
      <c r="B23">
        <v>0.60892073554111192</v>
      </c>
    </row>
    <row r="24" spans="1:2" x14ac:dyDescent="0.25">
      <c r="A24" t="s">
        <v>58</v>
      </c>
      <c r="B24">
        <v>0.60454527501531485</v>
      </c>
    </row>
    <row r="25" spans="1:2" x14ac:dyDescent="0.25">
      <c r="A25" t="s">
        <v>59</v>
      </c>
      <c r="B25">
        <v>0.86028247461583884</v>
      </c>
    </row>
    <row r="26" spans="1:2" x14ac:dyDescent="0.25">
      <c r="A26" t="s">
        <v>60</v>
      </c>
      <c r="B26">
        <v>0.60846379010487561</v>
      </c>
    </row>
    <row r="27" spans="1:2" x14ac:dyDescent="0.25">
      <c r="A27" t="s">
        <v>61</v>
      </c>
      <c r="B27">
        <v>0.60591919783565285</v>
      </c>
    </row>
    <row r="28" spans="1:2" x14ac:dyDescent="0.25">
      <c r="A28" t="s">
        <v>62</v>
      </c>
      <c r="B28">
        <v>0.55978402689069462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Total_size</vt:lpstr>
      <vt:lpstr>Portion</vt:lpstr>
      <vt:lpstr>GW_tech</vt:lpstr>
      <vt:lpstr>ST_mass</vt:lpstr>
      <vt:lpstr>ED_prov</vt:lpstr>
      <vt:lpstr>ED_prov_abbr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2025-12-12T05:19:01Z</dcterms:created>
  <dcterms:modified xsi:type="dcterms:W3CDTF">2025-12-15T09:01:48Z</dcterms:modified>
</cp:coreProperties>
</file>