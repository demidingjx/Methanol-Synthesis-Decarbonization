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2025_Methanol_synthesis\3_GAMS\P3_Geographical_allocation\Results_new\SOE\2050\ED59\"/>
    </mc:Choice>
  </mc:AlternateContent>
  <xr:revisionPtr revIDLastSave="0" documentId="13_ncr:1_{7240F417-8A82-4845-8010-A651C2AC8910}" xr6:coauthVersionLast="47" xr6:coauthVersionMax="47" xr10:uidLastSave="{00000000-0000-0000-0000-000000000000}"/>
  <bookViews>
    <workbookView xWindow="7560" yWindow="2148" windowWidth="23040" windowHeight="12120" xr2:uid="{00000000-000D-0000-FFFF-FFFF00000000}"/>
  </bookViews>
  <sheets>
    <sheet name="Total_size" sheetId="1" r:id="rId1"/>
    <sheet name="Portion" sheetId="2" r:id="rId2"/>
    <sheet name="GW_tech" sheetId="3" r:id="rId3"/>
    <sheet name="ST_mass" sheetId="4" r:id="rId4"/>
    <sheet name="ED_prov" sheetId="5" r:id="rId5"/>
    <sheet name="ED_prov_abbr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2" i="3" l="1"/>
  <c r="F14" i="3"/>
  <c r="F13" i="3"/>
  <c r="F18" i="3"/>
  <c r="F21" i="3"/>
  <c r="F9" i="3"/>
  <c r="F27" i="3"/>
  <c r="F28" i="3"/>
  <c r="F25" i="3"/>
  <c r="F7" i="3"/>
  <c r="F24" i="3"/>
  <c r="F17" i="3"/>
  <c r="F16" i="3"/>
  <c r="F2" i="3"/>
  <c r="F4" i="3"/>
  <c r="F10" i="3"/>
  <c r="F6" i="3"/>
  <c r="F8" i="3"/>
  <c r="F3" i="3"/>
  <c r="F15" i="3"/>
  <c r="F11" i="3"/>
  <c r="F22" i="3"/>
  <c r="F5" i="3"/>
  <c r="F19" i="3"/>
  <c r="F23" i="3"/>
  <c r="F26" i="3"/>
  <c r="F20" i="3"/>
</calcChain>
</file>

<file path=xl/sharedStrings.xml><?xml version="1.0" encoding="utf-8"?>
<sst xmlns="http://schemas.openxmlformats.org/spreadsheetml/2006/main" count="182" uniqueCount="63">
  <si>
    <t>Prov</t>
  </si>
  <si>
    <t>Total_size</t>
  </si>
  <si>
    <t>Longitude</t>
  </si>
  <si>
    <t>Latitude</t>
  </si>
  <si>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</si>
  <si>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</si>
  <si>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</si>
  <si>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</si>
  <si>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</si>
  <si>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</si>
  <si>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</si>
  <si>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</si>
  <si>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</si>
  <si>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</si>
  <si>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</si>
  <si>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</si>
  <si>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</si>
  <si>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</si>
  <si>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</si>
  <si>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</si>
  <si>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</si>
  <si>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</si>
  <si>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</si>
  <si>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</si>
  <si>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</si>
  <si>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</si>
  <si>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</si>
  <si>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</si>
  <si>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</si>
  <si>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</si>
  <si>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</si>
  <si>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PV</t>
  </si>
  <si>
    <t>WT</t>
  </si>
  <si>
    <t>SOE</t>
  </si>
  <si>
    <t>SST</t>
  </si>
  <si>
    <t>ED_prov</t>
  </si>
  <si>
    <t>AH</t>
  </si>
  <si>
    <t>GS</t>
  </si>
  <si>
    <t>GX</t>
  </si>
  <si>
    <t>GZ</t>
  </si>
  <si>
    <t>HI</t>
  </si>
  <si>
    <t>HB</t>
  </si>
  <si>
    <t>HN</t>
  </si>
  <si>
    <t>HL</t>
  </si>
  <si>
    <t>HU</t>
  </si>
  <si>
    <t>JL</t>
  </si>
  <si>
    <t>JS</t>
  </si>
  <si>
    <t>JX</t>
  </si>
  <si>
    <t>LN</t>
  </si>
  <si>
    <t>EIM</t>
  </si>
  <si>
    <t>WIM</t>
  </si>
  <si>
    <t>NX</t>
  </si>
  <si>
    <t>QH</t>
  </si>
  <si>
    <t>SD</t>
  </si>
  <si>
    <t>SN</t>
  </si>
  <si>
    <t>SX</t>
  </si>
  <si>
    <t>SH</t>
  </si>
  <si>
    <t>SC</t>
  </si>
  <si>
    <t>TJ</t>
  </si>
  <si>
    <t>XJ</t>
  </si>
  <si>
    <t>YN</t>
  </si>
  <si>
    <t>ZJ</t>
  </si>
  <si>
    <t>CQ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</si>
</sst>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1" applyNumberFormat="1" applyFont="1" applyAlignment="1"/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selection activeCell="B5" sqref="B3:B5"/>
    </sheetView>
  </sheetViews>
  <sheetFormatPr defaultRowHeight="14.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18</v>
      </c>
      <c r="B2">
        <v>84.82347370564807</v>
      </c>
      <c r="C2">
        <v>114.372517</v>
      </c>
      <c r="D2">
        <v>42.856555</v>
      </c>
    </row>
    <row r="3" spans="1:4" x14ac:dyDescent="0.25">
      <c r="A3" t="s">
        <v>23</v>
      </c>
      <c r="B3">
        <v>73.479797133897236</v>
      </c>
      <c r="C3">
        <v>108.485382</v>
      </c>
      <c r="D3">
        <v>33.343910000000001</v>
      </c>
    </row>
    <row r="4" spans="1:4" x14ac:dyDescent="0.25">
      <c r="A4" t="s">
        <v>19</v>
      </c>
      <c r="B4">
        <v>46.852462056531948</v>
      </c>
      <c r="C4">
        <v>105.810875</v>
      </c>
      <c r="D4">
        <v>37.817681</v>
      </c>
    </row>
    <row r="5" spans="1:4" x14ac:dyDescent="0.25">
      <c r="A5" t="s">
        <v>27</v>
      </c>
      <c r="B5">
        <v>28.49864485311079</v>
      </c>
      <c r="C5">
        <v>85.191590771393535</v>
      </c>
      <c r="D5">
        <v>41.117255344104287</v>
      </c>
    </row>
    <row r="6" spans="1:4" x14ac:dyDescent="0.25">
      <c r="A6" t="s">
        <v>21</v>
      </c>
      <c r="B6">
        <v>25.3963</v>
      </c>
      <c r="C6">
        <v>119.450171</v>
      </c>
      <c r="D6">
        <v>35.598723999999997</v>
      </c>
    </row>
    <row r="7" spans="1:4" x14ac:dyDescent="0.25">
      <c r="A7" t="s">
        <v>22</v>
      </c>
      <c r="B7">
        <v>23.512086761462129</v>
      </c>
      <c r="C7">
        <v>112.28981728019561</v>
      </c>
      <c r="D7">
        <v>37.572757192880118</v>
      </c>
    </row>
    <row r="8" spans="1:4" x14ac:dyDescent="0.25">
      <c r="A8" t="s">
        <v>10</v>
      </c>
      <c r="B8">
        <v>18.656975981706559</v>
      </c>
      <c r="C8">
        <v>113.614601904431</v>
      </c>
      <c r="D8">
        <v>33.882638232172887</v>
      </c>
    </row>
    <row r="9" spans="1:4" x14ac:dyDescent="0.25">
      <c r="A9" t="s">
        <v>14</v>
      </c>
      <c r="B9">
        <v>18.466588624340229</v>
      </c>
      <c r="C9">
        <v>119.4892348816612</v>
      </c>
      <c r="D9">
        <v>32.965520436860672</v>
      </c>
    </row>
    <row r="10" spans="1:4" x14ac:dyDescent="0.25">
      <c r="A10" t="s">
        <v>20</v>
      </c>
      <c r="B10">
        <v>16.929432566545771</v>
      </c>
      <c r="C10">
        <v>96.039418797154511</v>
      </c>
      <c r="D10">
        <v>35.670780868499982</v>
      </c>
    </row>
    <row r="11" spans="1:4" x14ac:dyDescent="0.25">
      <c r="A11" t="s">
        <v>25</v>
      </c>
      <c r="B11">
        <v>12.140041242546831</v>
      </c>
      <c r="C11">
        <v>102.6927824668291</v>
      </c>
      <c r="D11">
        <v>30.629105446256709</v>
      </c>
    </row>
    <row r="12" spans="1:4" x14ac:dyDescent="0.25">
      <c r="A12" t="s">
        <v>5</v>
      </c>
      <c r="B12">
        <v>9.5761573870788652</v>
      </c>
      <c r="C12">
        <v>104.41268100000001</v>
      </c>
      <c r="D12">
        <v>34.749943999999999</v>
      </c>
    </row>
    <row r="13" spans="1:4" x14ac:dyDescent="0.25">
      <c r="A13" t="s">
        <v>7</v>
      </c>
      <c r="B13">
        <v>9.4845868440733447</v>
      </c>
      <c r="C13">
        <v>106.8745962783198</v>
      </c>
      <c r="D13">
        <v>26.815625234223219</v>
      </c>
    </row>
    <row r="14" spans="1:4" x14ac:dyDescent="0.25">
      <c r="A14" t="s">
        <v>4</v>
      </c>
      <c r="B14">
        <v>9.1753755354222761</v>
      </c>
      <c r="C14">
        <v>117.831209</v>
      </c>
      <c r="D14">
        <v>30.265032999999999</v>
      </c>
    </row>
    <row r="15" spans="1:4" x14ac:dyDescent="0.25">
      <c r="A15" t="s">
        <v>6</v>
      </c>
      <c r="B15">
        <v>8.0653215243248226</v>
      </c>
      <c r="C15">
        <v>108.7883215005142</v>
      </c>
      <c r="D15">
        <v>23.821108787664961</v>
      </c>
    </row>
    <row r="16" spans="1:4" x14ac:dyDescent="0.25">
      <c r="A16" t="s">
        <v>24</v>
      </c>
      <c r="B16">
        <v>6.9741</v>
      </c>
      <c r="C16">
        <v>121.48415147861721</v>
      </c>
      <c r="D16">
        <v>31.211936918417809</v>
      </c>
    </row>
    <row r="17" spans="1:4" x14ac:dyDescent="0.25">
      <c r="A17" t="s">
        <v>28</v>
      </c>
      <c r="B17">
        <v>5.7525683469290962</v>
      </c>
      <c r="C17">
        <v>101.48657210881549</v>
      </c>
      <c r="D17">
        <v>24.97527175307221</v>
      </c>
    </row>
    <row r="18" spans="1:4" x14ac:dyDescent="0.25">
      <c r="A18" t="s">
        <v>8</v>
      </c>
      <c r="B18">
        <v>5.7376530520622469</v>
      </c>
      <c r="C18">
        <v>109.711102</v>
      </c>
      <c r="D18">
        <v>19.126199</v>
      </c>
    </row>
    <row r="19" spans="1:4" x14ac:dyDescent="0.25">
      <c r="A19" t="s">
        <v>17</v>
      </c>
      <c r="B19">
        <v>5.0654166922827777</v>
      </c>
      <c r="C19">
        <v>121.24477</v>
      </c>
      <c r="D19">
        <v>47.692197</v>
      </c>
    </row>
    <row r="20" spans="1:4" x14ac:dyDescent="0.25">
      <c r="A20" t="s">
        <v>16</v>
      </c>
      <c r="B20">
        <v>4.8066932061702774</v>
      </c>
      <c r="C20">
        <v>123.195166287728</v>
      </c>
      <c r="D20">
        <v>41.0762825816835</v>
      </c>
    </row>
    <row r="21" spans="1:4" x14ac:dyDescent="0.25">
      <c r="A21" t="s">
        <v>9</v>
      </c>
      <c r="B21">
        <v>4.2760268130016277</v>
      </c>
      <c r="C21">
        <v>115.476355</v>
      </c>
      <c r="D21">
        <v>40.988109000000001</v>
      </c>
    </row>
    <row r="22" spans="1:4" x14ac:dyDescent="0.25">
      <c r="A22" t="s">
        <v>26</v>
      </c>
      <c r="B22">
        <v>2.6982406423311809</v>
      </c>
      <c r="C22">
        <v>117.3415769933931</v>
      </c>
      <c r="D22">
        <v>39.283775371053643</v>
      </c>
    </row>
    <row r="23" spans="1:4" x14ac:dyDescent="0.25">
      <c r="A23" t="s">
        <v>15</v>
      </c>
      <c r="B23">
        <v>2.4676068917824918</v>
      </c>
      <c r="C23">
        <v>115.7220561072867</v>
      </c>
      <c r="D23">
        <v>27.4142925357772</v>
      </c>
    </row>
    <row r="24" spans="1:4" x14ac:dyDescent="0.25">
      <c r="A24" t="s">
        <v>30</v>
      </c>
      <c r="B24">
        <v>2.4156399999999998</v>
      </c>
      <c r="C24">
        <v>107.8744460430144</v>
      </c>
      <c r="D24">
        <v>30.05717027738056</v>
      </c>
    </row>
    <row r="25" spans="1:4" x14ac:dyDescent="0.25">
      <c r="A25" t="s">
        <v>11</v>
      </c>
      <c r="B25">
        <v>1.8274167407103079</v>
      </c>
      <c r="C25">
        <v>127.7672632852064</v>
      </c>
      <c r="D25">
        <v>47.861675972820599</v>
      </c>
    </row>
    <row r="26" spans="1:4" x14ac:dyDescent="0.25">
      <c r="A26" t="s">
        <v>29</v>
      </c>
      <c r="B26">
        <v>1.8248984360670819</v>
      </c>
      <c r="C26">
        <v>120.1394342239423</v>
      </c>
      <c r="D26">
        <v>29.18483739329271</v>
      </c>
    </row>
    <row r="27" spans="1:4" x14ac:dyDescent="0.25">
      <c r="A27" t="s">
        <v>12</v>
      </c>
      <c r="B27">
        <v>1.1919</v>
      </c>
      <c r="C27">
        <v>113.636625</v>
      </c>
      <c r="D27">
        <v>30.965187</v>
      </c>
    </row>
    <row r="28" spans="1:4" x14ac:dyDescent="0.25">
      <c r="A28" t="s">
        <v>13</v>
      </c>
      <c r="B28">
        <v>0.38357965673140731</v>
      </c>
      <c r="C28">
        <v>126.888295350211</v>
      </c>
      <c r="D28">
        <v>43.6682125968603</v>
      </c>
    </row>
  </sheetData>
  <sortState xmlns:xlrd2="http://schemas.microsoft.com/office/spreadsheetml/2017/richdata2" ref="A2:D28">
    <sortCondition descending="1" ref="B1:B28"/>
  </sortState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"/>
  <sheetViews>
    <sheetView workbookViewId="0"/>
  </sheetViews>
  <sheetFormatPr defaultRowHeight="14.4" x14ac:dyDescent="0.25"/>
  <sheetData>
    <row r="1" spans="1:8" x14ac:dyDescent="0.25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1</v>
      </c>
      <c r="G1" s="1" t="s">
        <v>2</v>
      </c>
      <c r="H1" s="1" t="s">
        <v>3</v>
      </c>
    </row>
    <row r="2" spans="1:8" x14ac:dyDescent="0.25">
      <c r="A2" t="s">
        <v>4</v>
      </c>
      <c r="B2">
        <v>0.36212747070622853</v>
      </c>
      <c r="C2">
        <v>0</v>
      </c>
      <c r="D2">
        <v>0.6032450637722333</v>
      </c>
      <c r="E2">
        <v>3.4627465521538212E-2</v>
      </c>
      <c r="F2">
        <v>9.1753755354222761</v>
      </c>
      <c r="G2">
        <v>117.831209</v>
      </c>
      <c r="H2">
        <v>30.265032999999999</v>
      </c>
    </row>
    <row r="3" spans="1:8" x14ac:dyDescent="0.25">
      <c r="A3" t="s">
        <v>5</v>
      </c>
      <c r="B3">
        <v>0</v>
      </c>
      <c r="C3">
        <v>0.90864185240100059</v>
      </c>
      <c r="D3">
        <v>8.4585075960941836E-2</v>
      </c>
      <c r="E3">
        <v>6.7730716380576383E-3</v>
      </c>
      <c r="F3">
        <v>9.5761573870788652</v>
      </c>
      <c r="G3">
        <v>104.41268100000001</v>
      </c>
      <c r="H3">
        <v>34.749943999999999</v>
      </c>
    </row>
    <row r="4" spans="1:8" x14ac:dyDescent="0.25">
      <c r="A4" t="s">
        <v>6</v>
      </c>
      <c r="B4">
        <v>0</v>
      </c>
      <c r="C4">
        <v>0.78293487808019446</v>
      </c>
      <c r="D4">
        <v>0.19900012605317191</v>
      </c>
      <c r="E4">
        <v>1.8064995866633741E-2</v>
      </c>
      <c r="F4">
        <v>8.0653215243248226</v>
      </c>
      <c r="G4">
        <v>108.7883215005142</v>
      </c>
      <c r="H4">
        <v>23.821108787664961</v>
      </c>
    </row>
    <row r="5" spans="1:8" x14ac:dyDescent="0.25">
      <c r="A5" t="s">
        <v>7</v>
      </c>
      <c r="B5">
        <v>0.20349087164290811</v>
      </c>
      <c r="C5">
        <v>0.59043162259611603</v>
      </c>
      <c r="D5">
        <v>0.1739664602292128</v>
      </c>
      <c r="E5">
        <v>3.2111045531763048E-2</v>
      </c>
      <c r="F5">
        <v>9.4845868440733447</v>
      </c>
      <c r="G5">
        <v>106.8745962783198</v>
      </c>
      <c r="H5">
        <v>26.815625234223219</v>
      </c>
    </row>
    <row r="6" spans="1:8" x14ac:dyDescent="0.25">
      <c r="A6" t="s">
        <v>8</v>
      </c>
      <c r="B6">
        <v>0.19452335944349719</v>
      </c>
      <c r="C6">
        <v>0.5150547581457009</v>
      </c>
      <c r="D6">
        <v>0.26404524397923879</v>
      </c>
      <c r="E6">
        <v>2.637663843156304E-2</v>
      </c>
      <c r="F6">
        <v>5.7376530520622469</v>
      </c>
      <c r="G6">
        <v>109.711102</v>
      </c>
      <c r="H6">
        <v>19.126199</v>
      </c>
    </row>
    <row r="7" spans="1:8" x14ac:dyDescent="0.25">
      <c r="A7" t="s">
        <v>9</v>
      </c>
      <c r="B7">
        <v>0</v>
      </c>
      <c r="C7">
        <v>0.55116745429087433</v>
      </c>
      <c r="D7">
        <v>0.43498324059720811</v>
      </c>
      <c r="E7">
        <v>1.384930511191756E-2</v>
      </c>
      <c r="F7">
        <v>4.2760268130016277</v>
      </c>
      <c r="G7">
        <v>115.476355</v>
      </c>
      <c r="H7">
        <v>40.988109000000001</v>
      </c>
    </row>
    <row r="8" spans="1:8" x14ac:dyDescent="0.25">
      <c r="A8" t="s">
        <v>10</v>
      </c>
      <c r="B8">
        <v>0.30158596360503709</v>
      </c>
      <c r="C8">
        <v>0.32837872055550332</v>
      </c>
      <c r="D8">
        <v>0.3135556376197306</v>
      </c>
      <c r="E8">
        <v>5.6479678219729053E-2</v>
      </c>
      <c r="F8">
        <v>18.656975981706559</v>
      </c>
      <c r="G8">
        <v>113.614601904431</v>
      </c>
      <c r="H8">
        <v>33.882638232172887</v>
      </c>
    </row>
    <row r="9" spans="1:8" x14ac:dyDescent="0.25">
      <c r="A9" t="s">
        <v>11</v>
      </c>
      <c r="B9">
        <v>6.5555238737576335E-2</v>
      </c>
      <c r="C9">
        <v>0</v>
      </c>
      <c r="D9">
        <v>0.84545575488132296</v>
      </c>
      <c r="E9">
        <v>8.8989006381100813E-2</v>
      </c>
      <c r="F9">
        <v>1.8274167407103079</v>
      </c>
      <c r="G9">
        <v>127.7672632852064</v>
      </c>
      <c r="H9">
        <v>47.861675972820599</v>
      </c>
    </row>
    <row r="10" spans="1:8" x14ac:dyDescent="0.25">
      <c r="A10" t="s">
        <v>12</v>
      </c>
      <c r="B10">
        <v>0</v>
      </c>
      <c r="C10">
        <v>0</v>
      </c>
      <c r="D10">
        <v>0.89353133652152028</v>
      </c>
      <c r="E10">
        <v>0.10646866347847971</v>
      </c>
      <c r="F10">
        <v>1.1919</v>
      </c>
      <c r="G10">
        <v>113.636625</v>
      </c>
      <c r="H10">
        <v>30.965187</v>
      </c>
    </row>
    <row r="11" spans="1:8" x14ac:dyDescent="0.25">
      <c r="A11" t="s">
        <v>13</v>
      </c>
      <c r="B11">
        <v>0</v>
      </c>
      <c r="C11">
        <v>0.66020095770806853</v>
      </c>
      <c r="D11">
        <v>0.31284245108970199</v>
      </c>
      <c r="E11">
        <v>2.6956591202229329E-2</v>
      </c>
      <c r="F11">
        <v>0.38357965673140731</v>
      </c>
      <c r="G11">
        <v>126.888295350211</v>
      </c>
      <c r="H11">
        <v>43.6682125968603</v>
      </c>
    </row>
    <row r="12" spans="1:8" x14ac:dyDescent="0.25">
      <c r="A12" t="s">
        <v>14</v>
      </c>
      <c r="B12">
        <v>0</v>
      </c>
      <c r="C12">
        <v>0.90484219712980252</v>
      </c>
      <c r="D12">
        <v>8.7726002509458056E-2</v>
      </c>
      <c r="E12">
        <v>7.4318003607395204E-3</v>
      </c>
      <c r="F12">
        <v>18.466588624340229</v>
      </c>
      <c r="G12">
        <v>119.4892348816612</v>
      </c>
      <c r="H12">
        <v>32.965520436860672</v>
      </c>
    </row>
    <row r="13" spans="1:8" x14ac:dyDescent="0.25">
      <c r="A13" t="s">
        <v>15</v>
      </c>
      <c r="B13">
        <v>0.15800032501079181</v>
      </c>
      <c r="C13">
        <v>0.32806043927735329</v>
      </c>
      <c r="D13">
        <v>0.40727718963129977</v>
      </c>
      <c r="E13">
        <v>0.1066620460805553</v>
      </c>
      <c r="F13">
        <v>2.4676068917824918</v>
      </c>
      <c r="G13">
        <v>115.7220561072867</v>
      </c>
      <c r="H13">
        <v>27.4142925357772</v>
      </c>
    </row>
    <row r="14" spans="1:8" x14ac:dyDescent="0.25">
      <c r="A14" t="s">
        <v>16</v>
      </c>
      <c r="B14">
        <v>0</v>
      </c>
      <c r="C14">
        <v>0.86269146548550912</v>
      </c>
      <c r="D14">
        <v>0.13730853451449079</v>
      </c>
      <c r="E14">
        <v>0</v>
      </c>
      <c r="F14">
        <v>4.8066932061702774</v>
      </c>
      <c r="G14">
        <v>123.195166287728</v>
      </c>
      <c r="H14">
        <v>41.0762825816835</v>
      </c>
    </row>
    <row r="15" spans="1:8" x14ac:dyDescent="0.25">
      <c r="A15" t="s">
        <v>17</v>
      </c>
      <c r="B15">
        <v>0</v>
      </c>
      <c r="C15">
        <v>0.9481661596764559</v>
      </c>
      <c r="D15">
        <v>4.7380109984957973E-2</v>
      </c>
      <c r="E15">
        <v>4.4537303385860502E-3</v>
      </c>
      <c r="F15">
        <v>5.0654166922827777</v>
      </c>
      <c r="G15">
        <v>121.24477</v>
      </c>
      <c r="H15">
        <v>47.692197</v>
      </c>
    </row>
    <row r="16" spans="1:8" x14ac:dyDescent="0.25">
      <c r="A16" t="s">
        <v>18</v>
      </c>
      <c r="B16">
        <v>0</v>
      </c>
      <c r="C16">
        <v>0.6921811986784806</v>
      </c>
      <c r="D16">
        <v>0.28311738426719169</v>
      </c>
      <c r="E16">
        <v>2.4701417054327549E-2</v>
      </c>
      <c r="F16">
        <v>84.82347370564807</v>
      </c>
      <c r="G16">
        <v>114.372517</v>
      </c>
      <c r="H16">
        <v>42.856555</v>
      </c>
    </row>
    <row r="17" spans="1:8" x14ac:dyDescent="0.25">
      <c r="A17" t="s">
        <v>19</v>
      </c>
      <c r="B17">
        <v>0.19119390467893141</v>
      </c>
      <c r="C17">
        <v>0.54913863141446551</v>
      </c>
      <c r="D17">
        <v>0.24363714304334139</v>
      </c>
      <c r="E17">
        <v>1.6030320863261671E-2</v>
      </c>
      <c r="F17">
        <v>46.852462056531948</v>
      </c>
      <c r="G17">
        <v>105.810875</v>
      </c>
      <c r="H17">
        <v>37.817681</v>
      </c>
    </row>
    <row r="18" spans="1:8" x14ac:dyDescent="0.25">
      <c r="A18" t="s">
        <v>20</v>
      </c>
      <c r="B18">
        <v>0.64185923088873476</v>
      </c>
      <c r="C18">
        <v>0</v>
      </c>
      <c r="D18">
        <v>0.2888460662091607</v>
      </c>
      <c r="E18">
        <v>6.9294702902104433E-2</v>
      </c>
      <c r="F18">
        <v>16.929432566545771</v>
      </c>
      <c r="G18">
        <v>96.039418797154511</v>
      </c>
      <c r="H18">
        <v>35.670780868499982</v>
      </c>
    </row>
    <row r="19" spans="1:8" x14ac:dyDescent="0.25">
      <c r="A19" t="s">
        <v>21</v>
      </c>
      <c r="B19">
        <v>0</v>
      </c>
      <c r="C19">
        <v>0.67372018758638064</v>
      </c>
      <c r="D19">
        <v>0.30240625602942162</v>
      </c>
      <c r="E19">
        <v>2.3873556384197709E-2</v>
      </c>
      <c r="F19">
        <v>25.3963</v>
      </c>
      <c r="G19">
        <v>119.450171</v>
      </c>
      <c r="H19">
        <v>35.598723999999997</v>
      </c>
    </row>
    <row r="20" spans="1:8" x14ac:dyDescent="0.25">
      <c r="A20" t="s">
        <v>22</v>
      </c>
      <c r="B20">
        <v>0.52929656511220813</v>
      </c>
      <c r="C20">
        <v>0</v>
      </c>
      <c r="D20">
        <v>0.41021454615456748</v>
      </c>
      <c r="E20">
        <v>6.0488888733224368E-2</v>
      </c>
      <c r="F20">
        <v>23.512086761462129</v>
      </c>
      <c r="G20">
        <v>112.28981728019561</v>
      </c>
      <c r="H20">
        <v>37.572757192880118</v>
      </c>
    </row>
    <row r="21" spans="1:8" x14ac:dyDescent="0.25">
      <c r="A21" t="s">
        <v>23</v>
      </c>
      <c r="B21">
        <v>0.23340207516693801</v>
      </c>
      <c r="C21">
        <v>0.45087223008563099</v>
      </c>
      <c r="D21">
        <v>0.2817100864102795</v>
      </c>
      <c r="E21">
        <v>3.4015608337151559E-2</v>
      </c>
      <c r="F21">
        <v>73.479797133897236</v>
      </c>
      <c r="G21">
        <v>108.485382</v>
      </c>
      <c r="H21">
        <v>33.343910000000001</v>
      </c>
    </row>
    <row r="22" spans="1:8" x14ac:dyDescent="0.25">
      <c r="A22" t="s">
        <v>24</v>
      </c>
      <c r="B22">
        <v>0</v>
      </c>
      <c r="C22">
        <v>0.87323095453176758</v>
      </c>
      <c r="D22">
        <v>0.12474727921882391</v>
      </c>
      <c r="E22">
        <v>2.0217662494085259E-3</v>
      </c>
      <c r="F22">
        <v>6.9741</v>
      </c>
      <c r="G22">
        <v>121.48415147861721</v>
      </c>
      <c r="H22">
        <v>31.211936918417809</v>
      </c>
    </row>
    <row r="23" spans="1:8" x14ac:dyDescent="0.25">
      <c r="A23" t="s">
        <v>25</v>
      </c>
      <c r="B23">
        <v>0.75816556621647124</v>
      </c>
      <c r="C23">
        <v>0</v>
      </c>
      <c r="D23">
        <v>0.19522174205586171</v>
      </c>
      <c r="E23">
        <v>4.6612691727667098E-2</v>
      </c>
      <c r="F23">
        <v>12.140041242546831</v>
      </c>
      <c r="G23">
        <v>102.6927824668291</v>
      </c>
      <c r="H23">
        <v>30.629105446256709</v>
      </c>
    </row>
    <row r="24" spans="1:8" x14ac:dyDescent="0.25">
      <c r="A24" t="s">
        <v>26</v>
      </c>
      <c r="B24">
        <v>0.26755958756508391</v>
      </c>
      <c r="C24">
        <v>0.38971338301731712</v>
      </c>
      <c r="D24">
        <v>0.28907725566171472</v>
      </c>
      <c r="E24">
        <v>5.3649773755884388E-2</v>
      </c>
      <c r="F24">
        <v>2.6982406423311809</v>
      </c>
      <c r="G24">
        <v>117.3415769933931</v>
      </c>
      <c r="H24">
        <v>39.283775371053643</v>
      </c>
    </row>
    <row r="25" spans="1:8" x14ac:dyDescent="0.25">
      <c r="A25" t="s">
        <v>27</v>
      </c>
      <c r="B25">
        <v>0.42058249682198451</v>
      </c>
      <c r="C25">
        <v>0.27106670105063702</v>
      </c>
      <c r="D25">
        <v>0.25369627353389063</v>
      </c>
      <c r="E25">
        <v>5.4654528593487878E-2</v>
      </c>
      <c r="F25">
        <v>28.49864485311079</v>
      </c>
      <c r="G25">
        <v>85.191590771393535</v>
      </c>
      <c r="H25">
        <v>41.117255344104287</v>
      </c>
    </row>
    <row r="26" spans="1:8" x14ac:dyDescent="0.25">
      <c r="A26" t="s">
        <v>28</v>
      </c>
      <c r="B26">
        <v>0.60998985762634472</v>
      </c>
      <c r="C26">
        <v>0</v>
      </c>
      <c r="D26">
        <v>0.32072630670871027</v>
      </c>
      <c r="E26">
        <v>6.9283835664945045E-2</v>
      </c>
      <c r="F26">
        <v>5.7525683469290962</v>
      </c>
      <c r="G26">
        <v>101.48657210881549</v>
      </c>
      <c r="H26">
        <v>24.97527175307221</v>
      </c>
    </row>
    <row r="27" spans="1:8" x14ac:dyDescent="0.25">
      <c r="A27" t="s">
        <v>29</v>
      </c>
      <c r="B27">
        <v>0</v>
      </c>
      <c r="C27">
        <v>0.65782205318463749</v>
      </c>
      <c r="D27">
        <v>0.32878542067967692</v>
      </c>
      <c r="E27">
        <v>1.339252613568551E-2</v>
      </c>
      <c r="F27">
        <v>1.8248984360670819</v>
      </c>
      <c r="G27">
        <v>120.1394342239423</v>
      </c>
      <c r="H27">
        <v>29.18483739329271</v>
      </c>
    </row>
    <row r="28" spans="1:8" x14ac:dyDescent="0.25">
      <c r="A28" t="s">
        <v>30</v>
      </c>
      <c r="B28">
        <v>9.1073173154940304E-2</v>
      </c>
      <c r="C28">
        <v>0</v>
      </c>
      <c r="D28">
        <v>0.90659204186054199</v>
      </c>
      <c r="E28">
        <v>2.3347849845175611E-3</v>
      </c>
      <c r="F28">
        <v>2.4156399999999998</v>
      </c>
      <c r="G28">
        <v>107.8744460430144</v>
      </c>
      <c r="H28">
        <v>30.05717027738056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8"/>
  <sheetViews>
    <sheetView workbookViewId="0">
      <selection activeCell="F2" sqref="F2"/>
    </sheetView>
  </sheetViews>
  <sheetFormatPr defaultRowHeight="14.4" x14ac:dyDescent="0.25"/>
  <sheetData>
    <row r="1" spans="1:6" x14ac:dyDescent="0.25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</row>
    <row r="2" spans="1:6" x14ac:dyDescent="0.25">
      <c r="A2" t="s">
        <v>18</v>
      </c>
      <c r="C2">
        <v>58.713213705648073</v>
      </c>
      <c r="D2">
        <v>24.015000000000001</v>
      </c>
      <c r="E2">
        <v>2.0952600000000001</v>
      </c>
      <c r="F2">
        <f>B2+C2</f>
        <v>58.713213705648073</v>
      </c>
    </row>
    <row r="3" spans="1:6" x14ac:dyDescent="0.25">
      <c r="A3" t="s">
        <v>23</v>
      </c>
      <c r="B3">
        <v>17.150337133897239</v>
      </c>
      <c r="C3">
        <v>33.130000000000003</v>
      </c>
      <c r="D3">
        <v>20.7</v>
      </c>
      <c r="E3">
        <v>2.49946</v>
      </c>
      <c r="F3">
        <f>B3+C3</f>
        <v>50.280337133897241</v>
      </c>
    </row>
    <row r="4" spans="1:6" x14ac:dyDescent="0.25">
      <c r="A4" t="s">
        <v>19</v>
      </c>
      <c r="B4">
        <v>8.9579051644098193</v>
      </c>
      <c r="C4">
        <v>25.728496892122131</v>
      </c>
      <c r="D4">
        <v>11.414999999999999</v>
      </c>
      <c r="E4">
        <v>0.75106000000000006</v>
      </c>
      <c r="F4">
        <f>B4+C4</f>
        <v>34.686402056531946</v>
      </c>
    </row>
    <row r="5" spans="1:6" x14ac:dyDescent="0.25">
      <c r="A5" t="s">
        <v>27</v>
      </c>
      <c r="B5">
        <v>11.98603120836434</v>
      </c>
      <c r="C5">
        <v>7.7250336447464569</v>
      </c>
      <c r="D5">
        <v>7.23</v>
      </c>
      <c r="E5">
        <v>1.55758</v>
      </c>
      <c r="F5">
        <f>B5+C5</f>
        <v>19.711064853110798</v>
      </c>
    </row>
    <row r="6" spans="1:6" x14ac:dyDescent="0.25">
      <c r="A6" t="s">
        <v>21</v>
      </c>
      <c r="C6">
        <v>17.11</v>
      </c>
      <c r="D6">
        <v>7.68</v>
      </c>
      <c r="E6">
        <v>0.60630000000000017</v>
      </c>
      <c r="F6">
        <f>B6+C6</f>
        <v>17.11</v>
      </c>
    </row>
    <row r="7" spans="1:6" x14ac:dyDescent="0.25">
      <c r="A7" t="s">
        <v>14</v>
      </c>
      <c r="C7">
        <v>16.70934862434023</v>
      </c>
      <c r="D7">
        <v>1.62</v>
      </c>
      <c r="E7">
        <v>0.13724</v>
      </c>
      <c r="F7">
        <f>B7+C7</f>
        <v>16.70934862434023</v>
      </c>
    </row>
    <row r="8" spans="1:6" x14ac:dyDescent="0.25">
      <c r="A8" t="s">
        <v>22</v>
      </c>
      <c r="B8">
        <v>12.444866761462119</v>
      </c>
      <c r="D8">
        <v>9.6449999999999996</v>
      </c>
      <c r="E8">
        <v>1.42222</v>
      </c>
      <c r="F8">
        <f>B8+C8</f>
        <v>12.444866761462119</v>
      </c>
    </row>
    <row r="9" spans="1:6" x14ac:dyDescent="0.25">
      <c r="A9" t="s">
        <v>10</v>
      </c>
      <c r="B9">
        <v>5.6266820793990062</v>
      </c>
      <c r="C9">
        <v>6.1265539023075553</v>
      </c>
      <c r="D9">
        <v>5.8500000000000014</v>
      </c>
      <c r="E9">
        <v>1.0537399999999999</v>
      </c>
      <c r="F9">
        <f>B9+C9</f>
        <v>11.753235981706561</v>
      </c>
    </row>
    <row r="10" spans="1:6" x14ac:dyDescent="0.25">
      <c r="A10" t="s">
        <v>20</v>
      </c>
      <c r="B10">
        <v>10.866312566545769</v>
      </c>
      <c r="D10">
        <v>4.8899999999999997</v>
      </c>
      <c r="E10">
        <v>1.1731199999999999</v>
      </c>
      <c r="F10">
        <f>B10+C10</f>
        <v>10.866312566545769</v>
      </c>
    </row>
    <row r="11" spans="1:6" x14ac:dyDescent="0.25">
      <c r="A11" t="s">
        <v>25</v>
      </c>
      <c r="B11">
        <v>9.2041612425468298</v>
      </c>
      <c r="D11">
        <v>2.37</v>
      </c>
      <c r="E11">
        <v>0.56588000000000005</v>
      </c>
      <c r="F11">
        <f>B11+C11</f>
        <v>9.2041612425468298</v>
      </c>
    </row>
    <row r="12" spans="1:6" x14ac:dyDescent="0.25">
      <c r="A12" t="s">
        <v>5</v>
      </c>
      <c r="C12">
        <v>8.7012973870788652</v>
      </c>
      <c r="D12">
        <v>0.81</v>
      </c>
      <c r="E12">
        <v>6.4860000000000001E-2</v>
      </c>
      <c r="F12">
        <f>B12+C12</f>
        <v>8.7012973870788652</v>
      </c>
    </row>
    <row r="13" spans="1:6" x14ac:dyDescent="0.25">
      <c r="A13" t="s">
        <v>7</v>
      </c>
      <c r="B13">
        <v>1.9300268440733439</v>
      </c>
      <c r="C13">
        <v>5.6000000000000014</v>
      </c>
      <c r="D13">
        <v>1.65</v>
      </c>
      <c r="E13">
        <v>0.30456000000000011</v>
      </c>
      <c r="F13">
        <f>B13+C13</f>
        <v>7.5300268440733458</v>
      </c>
    </row>
    <row r="14" spans="1:6" x14ac:dyDescent="0.25">
      <c r="A14" t="s">
        <v>6</v>
      </c>
      <c r="C14">
        <v>6.3146215243248234</v>
      </c>
      <c r="D14">
        <v>1.605</v>
      </c>
      <c r="E14">
        <v>0.1457</v>
      </c>
      <c r="F14">
        <f>B14+C14</f>
        <v>6.3146215243248234</v>
      </c>
    </row>
    <row r="15" spans="1:6" x14ac:dyDescent="0.25">
      <c r="A15" t="s">
        <v>24</v>
      </c>
      <c r="C15">
        <v>6.09</v>
      </c>
      <c r="D15">
        <v>0.87</v>
      </c>
      <c r="E15">
        <v>1.41E-2</v>
      </c>
      <c r="F15">
        <f>B15+C15</f>
        <v>6.09</v>
      </c>
    </row>
    <row r="16" spans="1:6" x14ac:dyDescent="0.25">
      <c r="A16" t="s">
        <v>17</v>
      </c>
      <c r="C16">
        <v>4.8028566922827771</v>
      </c>
      <c r="D16">
        <v>0.24</v>
      </c>
      <c r="E16">
        <v>2.2560000000000011E-2</v>
      </c>
      <c r="F16">
        <f>B16+C16</f>
        <v>4.8028566922827771</v>
      </c>
    </row>
    <row r="17" spans="1:6" x14ac:dyDescent="0.25">
      <c r="A17" t="s">
        <v>16</v>
      </c>
      <c r="C17">
        <v>4.1466932061702773</v>
      </c>
      <c r="D17">
        <v>0.66</v>
      </c>
      <c r="F17">
        <f>B17+C17</f>
        <v>4.1466932061702773</v>
      </c>
    </row>
    <row r="18" spans="1:6" x14ac:dyDescent="0.25">
      <c r="A18" t="s">
        <v>8</v>
      </c>
      <c r="B18">
        <v>1.116107547008383</v>
      </c>
      <c r="C18">
        <v>2.955205505053863</v>
      </c>
      <c r="D18">
        <v>1.5149999999999999</v>
      </c>
      <c r="E18">
        <v>0.15134</v>
      </c>
      <c r="F18">
        <f>B18+C18</f>
        <v>4.071313052062246</v>
      </c>
    </row>
    <row r="19" spans="1:6" x14ac:dyDescent="0.25">
      <c r="A19" t="s">
        <v>28</v>
      </c>
      <c r="B19">
        <v>3.5090083469290971</v>
      </c>
      <c r="D19">
        <v>1.845</v>
      </c>
      <c r="E19">
        <v>0.39856000000000008</v>
      </c>
      <c r="F19">
        <f>B19+C19</f>
        <v>3.5090083469290971</v>
      </c>
    </row>
    <row r="20" spans="1:6" x14ac:dyDescent="0.25">
      <c r="A20" t="s">
        <v>4</v>
      </c>
      <c r="B20">
        <v>3.322655535422276</v>
      </c>
      <c r="D20">
        <v>5.5350000000000001</v>
      </c>
      <c r="E20">
        <v>0.31772000000000011</v>
      </c>
      <c r="F20">
        <f>B20+C20</f>
        <v>3.322655535422276</v>
      </c>
    </row>
    <row r="21" spans="1:6" x14ac:dyDescent="0.25">
      <c r="A21" t="s">
        <v>9</v>
      </c>
      <c r="C21">
        <v>2.356806813001628</v>
      </c>
      <c r="D21">
        <v>1.86</v>
      </c>
      <c r="E21">
        <v>5.9220000000000002E-2</v>
      </c>
      <c r="F21">
        <f>B21+C21</f>
        <v>2.356806813001628</v>
      </c>
    </row>
    <row r="22" spans="1:6" x14ac:dyDescent="0.25">
      <c r="A22" t="s">
        <v>26</v>
      </c>
      <c r="B22">
        <v>0.72194015341347773</v>
      </c>
      <c r="C22">
        <v>1.0515404889177029</v>
      </c>
      <c r="D22">
        <v>0.78</v>
      </c>
      <c r="E22">
        <v>0.14476</v>
      </c>
      <c r="F22">
        <f>B22+C22</f>
        <v>1.7734806423311806</v>
      </c>
    </row>
    <row r="23" spans="1:6" x14ac:dyDescent="0.25">
      <c r="A23" t="s">
        <v>29</v>
      </c>
      <c r="C23">
        <v>1.200458436067082</v>
      </c>
      <c r="D23">
        <v>0.6</v>
      </c>
      <c r="E23">
        <v>2.444E-2</v>
      </c>
      <c r="F23">
        <f>B23+C23</f>
        <v>1.200458436067082</v>
      </c>
    </row>
    <row r="24" spans="1:6" x14ac:dyDescent="0.25">
      <c r="A24" t="s">
        <v>15</v>
      </c>
      <c r="B24">
        <v>0.38988269090050348</v>
      </c>
      <c r="C24">
        <v>0.80952420088198862</v>
      </c>
      <c r="D24">
        <v>1.0049999999999999</v>
      </c>
      <c r="E24">
        <v>0.26319999999999999</v>
      </c>
      <c r="F24">
        <f>B24+C24</f>
        <v>1.199406891782492</v>
      </c>
    </row>
    <row r="25" spans="1:6" x14ac:dyDescent="0.25">
      <c r="A25" t="s">
        <v>13</v>
      </c>
      <c r="C25">
        <v>0.2532396567314073</v>
      </c>
      <c r="D25">
        <v>0.12</v>
      </c>
      <c r="E25">
        <v>1.034E-2</v>
      </c>
      <c r="F25">
        <f>B25+C25</f>
        <v>0.2532396567314073</v>
      </c>
    </row>
    <row r="26" spans="1:6" x14ac:dyDescent="0.25">
      <c r="A26" t="s">
        <v>30</v>
      </c>
      <c r="B26">
        <v>0.22</v>
      </c>
      <c r="D26">
        <v>2.19</v>
      </c>
      <c r="E26">
        <v>5.6400000000000018E-3</v>
      </c>
      <c r="F26">
        <f>B26+C26</f>
        <v>0.22</v>
      </c>
    </row>
    <row r="27" spans="1:6" x14ac:dyDescent="0.25">
      <c r="A27" t="s">
        <v>11</v>
      </c>
      <c r="B27">
        <v>0.1197967407103078</v>
      </c>
      <c r="D27">
        <v>1.5449999999999999</v>
      </c>
      <c r="E27">
        <v>0.16261999999999999</v>
      </c>
      <c r="F27">
        <f>B27+C27</f>
        <v>0.1197967407103078</v>
      </c>
    </row>
    <row r="28" spans="1:6" x14ac:dyDescent="0.25">
      <c r="A28" t="s">
        <v>12</v>
      </c>
      <c r="D28">
        <v>1.0649999999999999</v>
      </c>
      <c r="E28">
        <v>0.12690000000000001</v>
      </c>
      <c r="F28">
        <f>B28+C28</f>
        <v>0</v>
      </c>
    </row>
  </sheetData>
  <sortState xmlns:xlrd2="http://schemas.microsoft.com/office/spreadsheetml/2017/richdata2" ref="A2:F28">
    <sortCondition descending="1" ref="F1:F28"/>
  </sortState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6"/>
  <sheetViews>
    <sheetView workbookViewId="0"/>
  </sheetViews>
  <sheetFormatPr defaultRowHeight="14.4" x14ac:dyDescent="0.25"/>
  <sheetData>
    <row r="1" spans="1:2" x14ac:dyDescent="0.25">
      <c r="A1" s="1" t="s">
        <v>4</v>
      </c>
      <c r="B1" s="1">
        <v>135.19999999999999</v>
      </c>
    </row>
    <row r="2" spans="1:2" x14ac:dyDescent="0.25">
      <c r="A2" t="s">
        <v>5</v>
      </c>
      <c r="B2">
        <v>27.6</v>
      </c>
    </row>
    <row r="3" spans="1:2" x14ac:dyDescent="0.25">
      <c r="A3" t="s">
        <v>6</v>
      </c>
      <c r="B3">
        <v>62</v>
      </c>
    </row>
    <row r="4" spans="1:2" x14ac:dyDescent="0.25">
      <c r="A4" t="s">
        <v>7</v>
      </c>
      <c r="B4">
        <v>129.6</v>
      </c>
    </row>
    <row r="5" spans="1:2" x14ac:dyDescent="0.25">
      <c r="A5" t="s">
        <v>8</v>
      </c>
      <c r="B5">
        <v>64.400000000000006</v>
      </c>
    </row>
    <row r="6" spans="1:2" x14ac:dyDescent="0.25">
      <c r="A6" t="s">
        <v>9</v>
      </c>
      <c r="B6">
        <v>25.2</v>
      </c>
    </row>
    <row r="7" spans="1:2" x14ac:dyDescent="0.25">
      <c r="A7" t="s">
        <v>10</v>
      </c>
      <c r="B7">
        <v>448.4</v>
      </c>
    </row>
    <row r="8" spans="1:2" x14ac:dyDescent="0.25">
      <c r="A8" t="s">
        <v>11</v>
      </c>
      <c r="B8">
        <v>69.2</v>
      </c>
    </row>
    <row r="9" spans="1:2" x14ac:dyDescent="0.25">
      <c r="A9" t="s">
        <v>12</v>
      </c>
      <c r="B9">
        <v>54</v>
      </c>
    </row>
    <row r="10" spans="1:2" x14ac:dyDescent="0.25">
      <c r="A10" t="s">
        <v>13</v>
      </c>
      <c r="B10">
        <v>4.4000000000000004</v>
      </c>
    </row>
    <row r="11" spans="1:2" x14ac:dyDescent="0.25">
      <c r="A11" t="s">
        <v>14</v>
      </c>
      <c r="B11">
        <v>58.400000000000013</v>
      </c>
    </row>
    <row r="12" spans="1:2" x14ac:dyDescent="0.25">
      <c r="A12" t="s">
        <v>15</v>
      </c>
      <c r="B12">
        <v>112</v>
      </c>
    </row>
    <row r="13" spans="1:2" x14ac:dyDescent="0.25">
      <c r="A13" t="s">
        <v>17</v>
      </c>
      <c r="B13">
        <v>9.6000000000000014</v>
      </c>
    </row>
    <row r="14" spans="1:2" x14ac:dyDescent="0.25">
      <c r="A14" t="s">
        <v>18</v>
      </c>
      <c r="B14">
        <v>891.59999999999991</v>
      </c>
    </row>
    <row r="15" spans="1:2" x14ac:dyDescent="0.25">
      <c r="A15" t="s">
        <v>19</v>
      </c>
      <c r="B15">
        <v>319.60000000000002</v>
      </c>
    </row>
    <row r="16" spans="1:2" x14ac:dyDescent="0.25">
      <c r="A16" t="s">
        <v>20</v>
      </c>
      <c r="B16">
        <v>499.2</v>
      </c>
    </row>
    <row r="17" spans="1:2" x14ac:dyDescent="0.25">
      <c r="A17" t="s">
        <v>21</v>
      </c>
      <c r="B17">
        <v>258.00000000000011</v>
      </c>
    </row>
    <row r="18" spans="1:2" x14ac:dyDescent="0.25">
      <c r="A18" t="s">
        <v>22</v>
      </c>
      <c r="B18">
        <v>605.20000000000005</v>
      </c>
    </row>
    <row r="19" spans="1:2" x14ac:dyDescent="0.25">
      <c r="A19" t="s">
        <v>23</v>
      </c>
      <c r="B19">
        <v>1063.5999999999999</v>
      </c>
    </row>
    <row r="20" spans="1:2" x14ac:dyDescent="0.25">
      <c r="A20" t="s">
        <v>24</v>
      </c>
      <c r="B20">
        <v>6</v>
      </c>
    </row>
    <row r="21" spans="1:2" x14ac:dyDescent="0.25">
      <c r="A21" t="s">
        <v>25</v>
      </c>
      <c r="B21">
        <v>240.8</v>
      </c>
    </row>
    <row r="22" spans="1:2" x14ac:dyDescent="0.25">
      <c r="A22" t="s">
        <v>26</v>
      </c>
      <c r="B22">
        <v>61.6</v>
      </c>
    </row>
    <row r="23" spans="1:2" x14ac:dyDescent="0.25">
      <c r="A23" t="s">
        <v>27</v>
      </c>
      <c r="B23">
        <v>662.8</v>
      </c>
    </row>
    <row r="24" spans="1:2" x14ac:dyDescent="0.25">
      <c r="A24" t="s">
        <v>28</v>
      </c>
      <c r="B24">
        <v>169.6</v>
      </c>
    </row>
    <row r="25" spans="1:2" x14ac:dyDescent="0.25">
      <c r="A25" t="s">
        <v>29</v>
      </c>
      <c r="B25">
        <v>10.4</v>
      </c>
    </row>
    <row r="26" spans="1:2" x14ac:dyDescent="0.25">
      <c r="A26" t="s">
        <v>30</v>
      </c>
      <c r="B26">
        <v>2.4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8"/>
  <sheetViews>
    <sheetView workbookViewId="0">
      <selection activeCell="H6" sqref="H6"/>
    </sheetView>
  </sheetViews>
  <sheetFormatPr defaultRowHeight="14.4" x14ac:dyDescent="0.25"/>
  <cols>
    <col min="2" max="2" width="12.77734375" bestFit="1" customWidth="1"/>
  </cols>
  <sheetData>
    <row r="1" spans="1:2" x14ac:dyDescent="0.25">
      <c r="A1" s="1" t="s">
        <v>0</v>
      </c>
      <c r="B1" s="1" t="s">
        <v>35</v>
      </c>
    </row>
    <row r="2" spans="1:2" x14ac:dyDescent="0.25">
      <c r="A2" t="s">
        <v>4</v>
      </c>
      <c r="B2" s="2">
        <v>0.5810796328328014</v>
      </c>
    </row>
    <row r="3" spans="1:2" x14ac:dyDescent="0.25">
      <c r="A3" t="s">
        <v>5</v>
      </c>
      <c r="B3" s="2">
        <v>0.58042246776000295</v>
      </c>
    </row>
    <row r="4" spans="1:2" x14ac:dyDescent="0.25">
      <c r="A4" t="s">
        <v>6</v>
      </c>
      <c r="B4" s="2">
        <v>0.58055889186277854</v>
      </c>
    </row>
    <row r="5" spans="1:2" x14ac:dyDescent="0.25">
      <c r="A5" t="s">
        <v>7</v>
      </c>
      <c r="B5" s="2">
        <v>0.57629407638138197</v>
      </c>
    </row>
    <row r="6" spans="1:2" x14ac:dyDescent="0.25">
      <c r="A6" t="s">
        <v>8</v>
      </c>
      <c r="B6" s="2">
        <v>0.60555523603025796</v>
      </c>
    </row>
    <row r="7" spans="1:2" x14ac:dyDescent="0.25">
      <c r="A7" t="s">
        <v>9</v>
      </c>
      <c r="B7" s="2">
        <v>0.58060001487518287</v>
      </c>
    </row>
    <row r="8" spans="1:2" x14ac:dyDescent="0.25">
      <c r="A8" t="s">
        <v>10</v>
      </c>
      <c r="B8" s="2">
        <v>0.58007509984471173</v>
      </c>
    </row>
    <row r="9" spans="1:2" x14ac:dyDescent="0.25">
      <c r="A9" t="s">
        <v>11</v>
      </c>
      <c r="B9" s="2">
        <v>0.57955326004496877</v>
      </c>
    </row>
    <row r="10" spans="1:2" x14ac:dyDescent="0.25">
      <c r="A10" t="s">
        <v>12</v>
      </c>
      <c r="B10" s="2">
        <v>0.58100111059517379</v>
      </c>
    </row>
    <row r="11" spans="1:2" x14ac:dyDescent="0.25">
      <c r="A11" t="s">
        <v>13</v>
      </c>
      <c r="B11" s="2">
        <v>0.58404091226307298</v>
      </c>
    </row>
    <row r="12" spans="1:2" x14ac:dyDescent="0.25">
      <c r="A12" t="s">
        <v>14</v>
      </c>
      <c r="B12" s="2">
        <v>0.58057327828317207</v>
      </c>
    </row>
    <row r="13" spans="1:2" x14ac:dyDescent="0.25">
      <c r="A13" t="s">
        <v>15</v>
      </c>
      <c r="B13" s="2">
        <v>0.57224112107596914</v>
      </c>
    </row>
    <row r="14" spans="1:2" x14ac:dyDescent="0.25">
      <c r="A14" t="s">
        <v>16</v>
      </c>
      <c r="B14" s="2">
        <v>0.58136869919621859</v>
      </c>
    </row>
    <row r="15" spans="1:2" x14ac:dyDescent="0.25">
      <c r="A15" t="s">
        <v>17</v>
      </c>
      <c r="B15" s="2">
        <v>0.90413598835795117</v>
      </c>
    </row>
    <row r="16" spans="1:2" x14ac:dyDescent="0.25">
      <c r="A16" t="s">
        <v>18</v>
      </c>
      <c r="B16" s="2">
        <v>0.64358023586868096</v>
      </c>
    </row>
    <row r="17" spans="1:2" x14ac:dyDescent="0.25">
      <c r="A17" t="s">
        <v>19</v>
      </c>
      <c r="B17" s="2">
        <v>0.58092280728875467</v>
      </c>
    </row>
    <row r="18" spans="1:2" x14ac:dyDescent="0.25">
      <c r="A18" t="s">
        <v>20</v>
      </c>
      <c r="B18" s="2">
        <v>0.57449670834820432</v>
      </c>
    </row>
    <row r="19" spans="1:2" x14ac:dyDescent="0.25">
      <c r="A19" t="s">
        <v>21</v>
      </c>
      <c r="B19" s="2">
        <v>0.57981001578465796</v>
      </c>
    </row>
    <row r="20" spans="1:2" x14ac:dyDescent="0.25">
      <c r="A20" t="s">
        <v>22</v>
      </c>
      <c r="B20" s="2">
        <v>0.58131803056159204</v>
      </c>
    </row>
    <row r="21" spans="1:2" x14ac:dyDescent="0.25">
      <c r="A21" t="s">
        <v>23</v>
      </c>
      <c r="B21" s="2">
        <v>0.58059891154957177</v>
      </c>
    </row>
    <row r="22" spans="1:2" x14ac:dyDescent="0.25">
      <c r="A22" t="s">
        <v>24</v>
      </c>
      <c r="B22" s="2">
        <v>0.58066724554062565</v>
      </c>
    </row>
    <row r="23" spans="1:2" x14ac:dyDescent="0.25">
      <c r="A23" t="s">
        <v>25</v>
      </c>
      <c r="B23" s="2">
        <v>0.58219821124533677</v>
      </c>
    </row>
    <row r="24" spans="1:2" x14ac:dyDescent="0.25">
      <c r="A24" t="s">
        <v>26</v>
      </c>
      <c r="B24" s="2">
        <v>0.57590084230317595</v>
      </c>
    </row>
    <row r="25" spans="1:2" x14ac:dyDescent="0.25">
      <c r="A25" t="s">
        <v>27</v>
      </c>
      <c r="B25" s="2">
        <v>0.57756749445858335</v>
      </c>
    </row>
    <row r="26" spans="1:2" x14ac:dyDescent="0.25">
      <c r="A26" t="s">
        <v>28</v>
      </c>
      <c r="B26" s="2">
        <v>0.58462001239802108</v>
      </c>
    </row>
    <row r="27" spans="1:2" x14ac:dyDescent="0.25">
      <c r="A27" t="s">
        <v>29</v>
      </c>
      <c r="B27" s="2">
        <v>0.58082217543811809</v>
      </c>
    </row>
    <row r="28" spans="1:2" x14ac:dyDescent="0.25">
      <c r="A28" t="s">
        <v>30</v>
      </c>
      <c r="B28" s="2">
        <v>0.4064651799000058</v>
      </c>
    </row>
  </sheetData>
  <phoneticPr fontId="3" type="noConversion"/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8"/>
  <sheetViews>
    <sheetView workbookViewId="0"/>
  </sheetViews>
  <sheetFormatPr defaultRowHeight="14.4" x14ac:dyDescent="0.25"/>
  <sheetData>
    <row r="1" spans="1:2" x14ac:dyDescent="0.25">
      <c r="A1" s="1" t="s">
        <v>0</v>
      </c>
      <c r="B1" s="1" t="s">
        <v>35</v>
      </c>
    </row>
    <row r="2" spans="1:2" x14ac:dyDescent="0.25">
      <c r="A2" t="s">
        <v>36</v>
      </c>
      <c r="B2">
        <v>0.5810796328328014</v>
      </c>
    </row>
    <row r="3" spans="1:2" x14ac:dyDescent="0.25">
      <c r="A3" t="s">
        <v>37</v>
      </c>
      <c r="B3">
        <v>0.58042246776000295</v>
      </c>
    </row>
    <row r="4" spans="1:2" x14ac:dyDescent="0.25">
      <c r="A4" t="s">
        <v>38</v>
      </c>
      <c r="B4">
        <v>0.58055889186277854</v>
      </c>
    </row>
    <row r="5" spans="1:2" x14ac:dyDescent="0.25">
      <c r="A5" t="s">
        <v>39</v>
      </c>
      <c r="B5">
        <v>0.57629407638138197</v>
      </c>
    </row>
    <row r="6" spans="1:2" x14ac:dyDescent="0.25">
      <c r="A6" t="s">
        <v>40</v>
      </c>
      <c r="B6">
        <v>0.60555523603025796</v>
      </c>
    </row>
    <row r="7" spans="1:2" x14ac:dyDescent="0.25">
      <c r="A7" t="s">
        <v>41</v>
      </c>
      <c r="B7">
        <v>0.58060001487518287</v>
      </c>
    </row>
    <row r="8" spans="1:2" x14ac:dyDescent="0.25">
      <c r="A8" t="s">
        <v>42</v>
      </c>
      <c r="B8">
        <v>0.58007509984471173</v>
      </c>
    </row>
    <row r="9" spans="1:2" x14ac:dyDescent="0.25">
      <c r="A9" t="s">
        <v>43</v>
      </c>
      <c r="B9">
        <v>0.57955326004496877</v>
      </c>
    </row>
    <row r="10" spans="1:2" x14ac:dyDescent="0.25">
      <c r="A10" t="s">
        <v>44</v>
      </c>
      <c r="B10">
        <v>0.58100111059517379</v>
      </c>
    </row>
    <row r="11" spans="1:2" x14ac:dyDescent="0.25">
      <c r="A11" t="s">
        <v>45</v>
      </c>
      <c r="B11">
        <v>0.58404091226307298</v>
      </c>
    </row>
    <row r="12" spans="1:2" x14ac:dyDescent="0.25">
      <c r="A12" t="s">
        <v>46</v>
      </c>
      <c r="B12">
        <v>0.58057327828317207</v>
      </c>
    </row>
    <row r="13" spans="1:2" x14ac:dyDescent="0.25">
      <c r="A13" t="s">
        <v>47</v>
      </c>
      <c r="B13">
        <v>0.57224112107596914</v>
      </c>
    </row>
    <row r="14" spans="1:2" x14ac:dyDescent="0.25">
      <c r="A14" t="s">
        <v>48</v>
      </c>
      <c r="B14">
        <v>0.58136869919621859</v>
      </c>
    </row>
    <row r="15" spans="1:2" x14ac:dyDescent="0.25">
      <c r="A15" t="s">
        <v>49</v>
      </c>
      <c r="B15">
        <v>0.90413598835795117</v>
      </c>
    </row>
    <row r="16" spans="1:2" x14ac:dyDescent="0.25">
      <c r="A16" t="s">
        <v>50</v>
      </c>
      <c r="B16">
        <v>0.64358023586868096</v>
      </c>
    </row>
    <row r="17" spans="1:2" x14ac:dyDescent="0.25">
      <c r="A17" t="s">
        <v>51</v>
      </c>
      <c r="B17">
        <v>0.58092280728875467</v>
      </c>
    </row>
    <row r="18" spans="1:2" x14ac:dyDescent="0.25">
      <c r="A18" t="s">
        <v>52</v>
      </c>
      <c r="B18">
        <v>0.57449670834820432</v>
      </c>
    </row>
    <row r="19" spans="1:2" x14ac:dyDescent="0.25">
      <c r="A19" t="s">
        <v>53</v>
      </c>
      <c r="B19">
        <v>0.57981001578465796</v>
      </c>
    </row>
    <row r="20" spans="1:2" x14ac:dyDescent="0.25">
      <c r="A20" t="s">
        <v>54</v>
      </c>
      <c r="B20">
        <v>0.58131803056159204</v>
      </c>
    </row>
    <row r="21" spans="1:2" x14ac:dyDescent="0.25">
      <c r="A21" t="s">
        <v>55</v>
      </c>
      <c r="B21">
        <v>0.58059891154957177</v>
      </c>
    </row>
    <row r="22" spans="1:2" x14ac:dyDescent="0.25">
      <c r="A22" t="s">
        <v>56</v>
      </c>
      <c r="B22">
        <v>0.58066724554062565</v>
      </c>
    </row>
    <row r="23" spans="1:2" x14ac:dyDescent="0.25">
      <c r="A23" t="s">
        <v>57</v>
      </c>
      <c r="B23">
        <v>0.58219821124533677</v>
      </c>
    </row>
    <row r="24" spans="1:2" x14ac:dyDescent="0.25">
      <c r="A24" t="s">
        <v>58</v>
      </c>
      <c r="B24">
        <v>0.57590084230317595</v>
      </c>
    </row>
    <row r="25" spans="1:2" x14ac:dyDescent="0.25">
      <c r="A25" t="s">
        <v>59</v>
      </c>
      <c r="B25">
        <v>0.57756749445858335</v>
      </c>
    </row>
    <row r="26" spans="1:2" x14ac:dyDescent="0.25">
      <c r="A26" t="s">
        <v>60</v>
      </c>
      <c r="B26">
        <v>0.58462001239802108</v>
      </c>
    </row>
    <row r="27" spans="1:2" x14ac:dyDescent="0.25">
      <c r="A27" t="s">
        <v>61</v>
      </c>
      <c r="B27">
        <v>0.58082217543811809</v>
      </c>
    </row>
    <row r="28" spans="1:2" x14ac:dyDescent="0.25">
      <c r="A28" t="s">
        <v>62</v>
      </c>
      <c r="B28">
        <v>0.4064651799000058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Total_size</vt:lpstr>
      <vt:lpstr>Portion</vt:lpstr>
      <vt:lpstr>GW_tech</vt:lpstr>
      <vt:lpstr>ST_mass</vt:lpstr>
      <vt:lpstr>ED_prov</vt:lpstr>
      <vt:lpstr>ED_prov_abbr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Jiaxin Ding</cp:lastModifiedBy>
  <dcterms:created xsi:type="dcterms:W3CDTF">2025-12-12T05:19:09Z</dcterms:created>
  <dcterms:modified xsi:type="dcterms:W3CDTF">2025-12-15T09:01:42Z</dcterms:modified>
</cp:coreProperties>
</file>