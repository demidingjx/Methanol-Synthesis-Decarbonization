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"/>
    </mc:Choice>
  </mc:AlternateContent>
  <xr:revisionPtr revIDLastSave="0" documentId="13_ncr:1_{A2CA6560-60F1-4926-A904-2AC0B9508683}" xr6:coauthVersionLast="47" xr6:coauthVersionMax="47" xr10:uidLastSave="{00000000-0000-0000-0000-000000000000}"/>
  <bookViews>
    <workbookView xWindow="-540" yWindow="6864" windowWidth="23040" windowHeight="12120" activeTab="1" xr2:uid="{00000000-000D-0000-FFFF-FFFF00000000}"/>
  </bookViews>
  <sheets>
    <sheet name="Total_TNS" sheetId="1" r:id="rId1"/>
    <sheet name="Portion_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2" l="1"/>
  <c r="D5" i="2"/>
  <c r="C4" i="2"/>
  <c r="B4" i="2"/>
  <c r="B11" i="2"/>
  <c r="B10" i="2"/>
</calcChain>
</file>

<file path=xl/sharedStrings.xml><?xml version="1.0" encoding="utf-8"?>
<sst xmlns="http://schemas.openxmlformats.org/spreadsheetml/2006/main" count="95" uniqueCount="23">
  <si>
    <t>Annual City Transmission</t>
  </si>
  <si>
    <t>2040</t>
  </si>
  <si>
    <t>2050</t>
  </si>
  <si>
    <t>25</t>
  </si>
  <si>
    <t>55</t>
  </si>
  <si>
    <t>75</t>
  </si>
  <si>
    <t>100</t>
  </si>
  <si>
    <t>50</t>
  </si>
  <si>
    <t>76</t>
  </si>
  <si>
    <t>PEME</t>
  </si>
  <si>
    <t>21</t>
  </si>
  <si>
    <t>59</t>
  </si>
  <si>
    <t>SOEC</t>
  </si>
  <si>
    <t>Annual Prov Transmission</t>
  </si>
  <si>
    <t>Annual Total Transmission</t>
  </si>
  <si>
    <t>ED COMPARISON</t>
  </si>
  <si>
    <t>Year</t>
  </si>
  <si>
    <t>ED pair</t>
  </si>
  <si>
    <t>25-100</t>
  </si>
  <si>
    <t>Year Comparison</t>
  </si>
  <si>
    <t>ED100</t>
  </si>
  <si>
    <t>2040-2050</t>
  </si>
  <si>
    <t>25-100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</si>
</sst>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B4" sqref="B4"/>
    </sheetView>
  </sheetViews>
  <sheetFormatPr defaultRowHeight="14.4" x14ac:dyDescent="0.25"/>
  <cols>
    <col min="1" max="5" width="16" customWidth="1"/>
  </cols>
  <sheetData>
    <row r="1" spans="1:9" x14ac:dyDescent="0.25">
      <c r="A1" t="s">
        <v>0</v>
      </c>
    </row>
    <row r="2" spans="1:9" x14ac:dyDescent="0.25">
      <c r="B2" t="s">
        <v>1</v>
      </c>
      <c r="C2" t="s">
        <v>1</v>
      </c>
      <c r="D2" t="s">
        <v>1</v>
      </c>
      <c r="E2" t="s">
        <v>1</v>
      </c>
      <c r="F2" t="s">
        <v>2</v>
      </c>
      <c r="G2" t="s">
        <v>2</v>
      </c>
      <c r="H2" t="s">
        <v>2</v>
      </c>
      <c r="I2" t="s">
        <v>2</v>
      </c>
    </row>
    <row r="3" spans="1:9" x14ac:dyDescent="0.25">
      <c r="B3" t="s">
        <v>3</v>
      </c>
      <c r="C3" t="s">
        <v>4</v>
      </c>
      <c r="D3" t="s">
        <v>5</v>
      </c>
      <c r="E3" t="s">
        <v>6</v>
      </c>
      <c r="F3" t="s">
        <v>3</v>
      </c>
      <c r="G3" t="s">
        <v>7</v>
      </c>
      <c r="H3" t="s">
        <v>8</v>
      </c>
      <c r="I3" t="s">
        <v>6</v>
      </c>
    </row>
    <row r="4" spans="1:9" x14ac:dyDescent="0.25">
      <c r="A4" t="s">
        <v>9</v>
      </c>
      <c r="B4">
        <v>6757.7797745740254</v>
      </c>
      <c r="C4">
        <v>11875.27525747477</v>
      </c>
      <c r="D4">
        <v>16101.25480443687</v>
      </c>
      <c r="E4">
        <v>19762.391693504949</v>
      </c>
      <c r="F4">
        <v>6342.6189023019451</v>
      </c>
      <c r="G4">
        <v>11714.868224258789</v>
      </c>
      <c r="H4">
        <v>16430.661045378809</v>
      </c>
      <c r="I4">
        <v>20533.635122673659</v>
      </c>
    </row>
    <row r="5" spans="1:9" x14ac:dyDescent="0.25">
      <c r="B5" t="s">
        <v>10</v>
      </c>
      <c r="C5" t="s">
        <v>7</v>
      </c>
      <c r="D5" t="s">
        <v>5</v>
      </c>
      <c r="E5" t="s">
        <v>6</v>
      </c>
      <c r="F5" t="s">
        <v>3</v>
      </c>
      <c r="G5" t="s">
        <v>11</v>
      </c>
      <c r="H5" t="s">
        <v>5</v>
      </c>
      <c r="I5" t="s">
        <v>6</v>
      </c>
    </row>
    <row r="6" spans="1:9" x14ac:dyDescent="0.25">
      <c r="A6" t="s">
        <v>12</v>
      </c>
      <c r="B6">
        <v>6996.4681794381386</v>
      </c>
      <c r="C6">
        <v>12387.97473434512</v>
      </c>
      <c r="D6">
        <v>18895.47229241013</v>
      </c>
      <c r="E6">
        <v>23065.170717702091</v>
      </c>
      <c r="F6">
        <v>7388.297745283664</v>
      </c>
      <c r="G6">
        <v>14748.686421328621</v>
      </c>
      <c r="H6">
        <v>19717.624364881689</v>
      </c>
      <c r="I6">
        <v>24886.161326744608</v>
      </c>
    </row>
    <row r="9" spans="1:9" x14ac:dyDescent="0.25">
      <c r="A9" t="s">
        <v>13</v>
      </c>
    </row>
    <row r="10" spans="1:9" x14ac:dyDescent="0.25">
      <c r="B10" t="s">
        <v>1</v>
      </c>
      <c r="C10" t="s">
        <v>1</v>
      </c>
      <c r="D10" t="s">
        <v>1</v>
      </c>
      <c r="E10" t="s">
        <v>1</v>
      </c>
      <c r="F10" t="s">
        <v>2</v>
      </c>
      <c r="G10" t="s">
        <v>2</v>
      </c>
      <c r="H10" t="s">
        <v>2</v>
      </c>
      <c r="I10" t="s">
        <v>2</v>
      </c>
    </row>
    <row r="11" spans="1:9" x14ac:dyDescent="0.25">
      <c r="A11" t="s">
        <v>9</v>
      </c>
      <c r="B11" t="s">
        <v>3</v>
      </c>
      <c r="C11" t="s">
        <v>4</v>
      </c>
      <c r="D11" t="s">
        <v>5</v>
      </c>
      <c r="E11" t="s">
        <v>6</v>
      </c>
      <c r="F11" t="s">
        <v>3</v>
      </c>
      <c r="G11" t="s">
        <v>7</v>
      </c>
      <c r="H11" t="s">
        <v>8</v>
      </c>
      <c r="I11" t="s">
        <v>6</v>
      </c>
    </row>
    <row r="12" spans="1:9" x14ac:dyDescent="0.25">
      <c r="B12" s="2">
        <v>2060.1847210998112</v>
      </c>
      <c r="C12">
        <v>5190.5214946791748</v>
      </c>
      <c r="D12">
        <v>6646.6630849772228</v>
      </c>
      <c r="E12" s="3">
        <v>8775.6936913543359</v>
      </c>
      <c r="F12" s="2">
        <v>1589.3243098993869</v>
      </c>
      <c r="G12">
        <v>2498.016789005384</v>
      </c>
      <c r="H12">
        <v>5366.6608052039765</v>
      </c>
      <c r="I12" s="3">
        <v>6240.3066143368378</v>
      </c>
    </row>
    <row r="13" spans="1:9" x14ac:dyDescent="0.25">
      <c r="B13" t="s">
        <v>10</v>
      </c>
      <c r="C13" t="s">
        <v>7</v>
      </c>
      <c r="D13" t="s">
        <v>5</v>
      </c>
      <c r="E13" t="s">
        <v>6</v>
      </c>
      <c r="F13" t="s">
        <v>3</v>
      </c>
      <c r="G13" t="s">
        <v>11</v>
      </c>
      <c r="H13" t="s">
        <v>5</v>
      </c>
      <c r="I13" t="s">
        <v>6</v>
      </c>
    </row>
    <row r="14" spans="1:9" x14ac:dyDescent="0.25">
      <c r="A14" t="s">
        <v>12</v>
      </c>
      <c r="B14" s="2">
        <v>1640.3473672192661</v>
      </c>
      <c r="C14">
        <v>5143.677136788915</v>
      </c>
      <c r="D14">
        <v>7103.6696843797099</v>
      </c>
      <c r="E14" s="3">
        <v>9167.84432991412</v>
      </c>
      <c r="F14" s="2">
        <v>1697.7841730802249</v>
      </c>
      <c r="G14">
        <v>5412.0963271038872</v>
      </c>
      <c r="H14">
        <v>6374.8313805111393</v>
      </c>
      <c r="I14" s="3">
        <v>7747.037012810225</v>
      </c>
    </row>
    <row r="17" spans="1:9" x14ac:dyDescent="0.25">
      <c r="A17" t="s">
        <v>14</v>
      </c>
    </row>
    <row r="18" spans="1:9" x14ac:dyDescent="0.25">
      <c r="B18" t="s">
        <v>1</v>
      </c>
      <c r="C18" t="s">
        <v>1</v>
      </c>
      <c r="D18" t="s">
        <v>1</v>
      </c>
      <c r="E18" t="s">
        <v>1</v>
      </c>
      <c r="F18" t="s">
        <v>2</v>
      </c>
      <c r="G18" t="s">
        <v>2</v>
      </c>
      <c r="H18" t="s">
        <v>2</v>
      </c>
      <c r="I18" t="s">
        <v>2</v>
      </c>
    </row>
    <row r="19" spans="1:9" x14ac:dyDescent="0.25">
      <c r="B19" t="s">
        <v>3</v>
      </c>
      <c r="C19" t="s">
        <v>4</v>
      </c>
      <c r="D19" t="s">
        <v>5</v>
      </c>
      <c r="E19" t="s">
        <v>6</v>
      </c>
      <c r="F19" t="s">
        <v>3</v>
      </c>
      <c r="G19" t="s">
        <v>7</v>
      </c>
      <c r="H19" t="s">
        <v>8</v>
      </c>
      <c r="I19" t="s">
        <v>6</v>
      </c>
    </row>
    <row r="20" spans="1:9" x14ac:dyDescent="0.25">
      <c r="A20" t="s">
        <v>9</v>
      </c>
      <c r="B20">
        <v>8817.9644956738357</v>
      </c>
      <c r="C20">
        <v>17065.79675215395</v>
      </c>
      <c r="D20">
        <v>22747.91788941409</v>
      </c>
      <c r="E20">
        <v>28538.085384859289</v>
      </c>
      <c r="F20">
        <v>7931.9432122013322</v>
      </c>
      <c r="G20">
        <v>14212.88501326418</v>
      </c>
      <c r="H20">
        <v>21797.32185058279</v>
      </c>
      <c r="I20">
        <v>26773.941737010489</v>
      </c>
    </row>
    <row r="21" spans="1:9" x14ac:dyDescent="0.25">
      <c r="B21" t="s">
        <v>10</v>
      </c>
      <c r="C21" t="s">
        <v>7</v>
      </c>
      <c r="D21" t="s">
        <v>5</v>
      </c>
      <c r="E21" t="s">
        <v>6</v>
      </c>
      <c r="F21" t="s">
        <v>3</v>
      </c>
      <c r="G21" t="s">
        <v>11</v>
      </c>
      <c r="H21" t="s">
        <v>5</v>
      </c>
      <c r="I21" t="s">
        <v>6</v>
      </c>
    </row>
    <row r="22" spans="1:9" x14ac:dyDescent="0.25">
      <c r="A22" t="s">
        <v>12</v>
      </c>
      <c r="B22">
        <v>8636.8155466574062</v>
      </c>
      <c r="C22">
        <v>17531.651871134029</v>
      </c>
      <c r="D22">
        <v>25999.141976789841</v>
      </c>
      <c r="E22">
        <v>32233.01504761622</v>
      </c>
      <c r="F22">
        <v>9086.0819183638887</v>
      </c>
      <c r="G22">
        <v>20160.78274843251</v>
      </c>
      <c r="H22">
        <v>26092.455745392828</v>
      </c>
      <c r="I22">
        <v>32633.198339554841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F23" sqref="F23"/>
    </sheetView>
  </sheetViews>
  <sheetFormatPr defaultRowHeight="14.4" x14ac:dyDescent="0.25"/>
  <cols>
    <col min="5" max="5" width="12.77734375" bestFit="1" customWidth="1"/>
  </cols>
  <sheetData>
    <row r="1" spans="1:5" x14ac:dyDescent="0.25">
      <c r="A1" t="s">
        <v>15</v>
      </c>
    </row>
    <row r="2" spans="1:5" x14ac:dyDescent="0.25">
      <c r="A2" t="s">
        <v>16</v>
      </c>
      <c r="B2">
        <v>2040</v>
      </c>
      <c r="C2">
        <v>2050</v>
      </c>
      <c r="D2">
        <v>2040</v>
      </c>
      <c r="E2">
        <v>2050</v>
      </c>
    </row>
    <row r="3" spans="1:5" x14ac:dyDescent="0.25">
      <c r="A3" t="s">
        <v>17</v>
      </c>
      <c r="B3" t="s">
        <v>18</v>
      </c>
      <c r="C3" t="s">
        <v>22</v>
      </c>
      <c r="D3" t="s">
        <v>22</v>
      </c>
      <c r="E3" t="s">
        <v>22</v>
      </c>
    </row>
    <row r="4" spans="1:5" x14ac:dyDescent="0.25">
      <c r="A4" t="s">
        <v>9</v>
      </c>
      <c r="B4" s="1">
        <f>(Total_TNS!E20-Total_TNS!B20)/Total_TNS!B20</f>
        <v>2.2363574835054401</v>
      </c>
      <c r="C4" s="1">
        <f>(Total_TNS!I20-Total_TNS!F20)/Total_TNS!F20</f>
        <v>2.3754580713368454</v>
      </c>
    </row>
    <row r="5" spans="1:5" x14ac:dyDescent="0.25">
      <c r="A5" t="s">
        <v>12</v>
      </c>
      <c r="D5" s="1">
        <f>(Total_TNS!E22-Total_TNS!B22)/Total_TNS!B22</f>
        <v>2.7320485627472895</v>
      </c>
      <c r="E5" s="1">
        <f>(Total_TNS!I22-Total_TNS!F22)/Total_TNS!F22</f>
        <v>2.5915588955454885</v>
      </c>
    </row>
    <row r="8" spans="1:5" x14ac:dyDescent="0.25">
      <c r="A8" t="s">
        <v>19</v>
      </c>
    </row>
    <row r="9" spans="1:5" x14ac:dyDescent="0.25">
      <c r="A9" t="s">
        <v>20</v>
      </c>
      <c r="B9" t="s">
        <v>21</v>
      </c>
    </row>
    <row r="10" spans="1:5" x14ac:dyDescent="0.25">
      <c r="A10" t="s">
        <v>9</v>
      </c>
      <c r="B10" s="1">
        <f>(Total_TNS!E20-Total_TNS!C20)/Total_TNS!C20</f>
        <v>0.67223867712226038</v>
      </c>
    </row>
    <row r="11" spans="1:5" x14ac:dyDescent="0.25">
      <c r="A11" t="s">
        <v>12</v>
      </c>
      <c r="B11" s="1">
        <f>(Total_TNS!E22-Total_TNS!C22)/Total_TNS!C22</f>
        <v>0.83856120829595504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Total_TNS</vt:lpstr>
      <vt:lpstr>Portion_ED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2025-09-22T04:26:49Z</dcterms:created>
  <dcterms:modified xsi:type="dcterms:W3CDTF">2025-12-15T11:21:48Z</dcterms:modified>
</cp:coreProperties>
</file>