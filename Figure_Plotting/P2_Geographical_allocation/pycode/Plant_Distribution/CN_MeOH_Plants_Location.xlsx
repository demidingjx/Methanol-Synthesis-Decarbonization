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pycode\Plant_Distribution\"/>
    </mc:Choice>
  </mc:AlternateContent>
  <xr:revisionPtr revIDLastSave="0" documentId="13_ncr:1_{3A62FF70-17BE-4415-880E-9EE25E3FA1A5}" xr6:coauthVersionLast="47" xr6:coauthVersionMax="47" xr10:uidLastSave="{00000000-0000-0000-0000-000000000000}"/>
  <bookViews>
    <workbookView xWindow="1908" yWindow="4536" windowWidth="23040" windowHeight="12120" activeTab="1" xr2:uid="{00000000-000D-0000-FFFF-FFFF00000000}"/>
  </bookViews>
  <sheets>
    <sheet name="经纬度-产能" sheetId="1" r:id="rId1"/>
    <sheet name="Province" sheetId="4" r:id="rId2"/>
    <sheet name="i,j" sheetId="5" r:id="rId3"/>
    <sheet name="Yr_tonne" sheetId="7" r:id="rId4"/>
    <sheet name="Yr" sheetId="6" r:id="rId5"/>
    <sheet name="Sheet2" sheetId="2" r:id="rId6"/>
    <sheet name="Sheet3" sheetId="3" r:id="rId7"/>
  </sheets>
  <definedNames>
    <definedName name="_xlnm._FilterDatabase" localSheetId="1" hidden="1">Province!$A$1:$I$313</definedName>
    <definedName name="_xlnm._FilterDatabase" localSheetId="0" hidden="1">'经纬度-产能'!$A$1:$J$221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7" l="1"/>
  <c r="C3" i="7"/>
  <c r="D3" i="7"/>
  <c r="E3" i="7"/>
  <c r="F3" i="7"/>
  <c r="G3" i="7"/>
  <c r="H3" i="7"/>
  <c r="I3" i="7"/>
  <c r="J3" i="7"/>
  <c r="K3" i="7"/>
  <c r="L3" i="7"/>
  <c r="M3" i="7"/>
  <c r="C4" i="7"/>
  <c r="E4" i="7"/>
  <c r="F4" i="7"/>
  <c r="G4" i="7"/>
  <c r="H4" i="7"/>
  <c r="I4" i="7"/>
  <c r="J4" i="7"/>
  <c r="K4" i="7"/>
  <c r="L4" i="7"/>
  <c r="M4" i="7"/>
  <c r="N4" i="7"/>
  <c r="C5" i="7"/>
  <c r="D5" i="7"/>
  <c r="E5" i="7"/>
  <c r="F5" i="7"/>
  <c r="G5" i="7"/>
  <c r="H5" i="7"/>
  <c r="I5" i="7"/>
  <c r="J5" i="7"/>
  <c r="K5" i="7"/>
  <c r="L5" i="7"/>
  <c r="M5" i="7"/>
  <c r="N5" i="7"/>
  <c r="C6" i="7"/>
  <c r="D6" i="7"/>
  <c r="E6" i="7"/>
  <c r="F6" i="7"/>
  <c r="G6" i="7"/>
  <c r="H6" i="7"/>
  <c r="I6" i="7"/>
  <c r="J6" i="7"/>
  <c r="K6" i="7"/>
  <c r="L6" i="7"/>
  <c r="M6" i="7"/>
  <c r="N6" i="7"/>
  <c r="C7" i="7"/>
  <c r="D7" i="7"/>
  <c r="E7" i="7"/>
  <c r="F7" i="7"/>
  <c r="G7" i="7"/>
  <c r="H7" i="7"/>
  <c r="I7" i="7"/>
  <c r="J7" i="7"/>
  <c r="K7" i="7"/>
  <c r="L7" i="7"/>
  <c r="M7" i="7"/>
  <c r="N7" i="7"/>
  <c r="C8" i="7"/>
  <c r="D8" i="7"/>
  <c r="E8" i="7"/>
  <c r="F8" i="7"/>
  <c r="G8" i="7"/>
  <c r="H8" i="7"/>
  <c r="I8" i="7"/>
  <c r="J8" i="7"/>
  <c r="K8" i="7"/>
  <c r="L8" i="7"/>
  <c r="M8" i="7"/>
  <c r="N8" i="7"/>
  <c r="C9" i="7"/>
  <c r="D9" i="7"/>
  <c r="E9" i="7"/>
  <c r="F9" i="7"/>
  <c r="G9" i="7"/>
  <c r="H9" i="7"/>
  <c r="I9" i="7"/>
  <c r="J9" i="7"/>
  <c r="K9" i="7"/>
  <c r="L9" i="7"/>
  <c r="M9" i="7"/>
  <c r="N9" i="7"/>
  <c r="C10" i="7"/>
  <c r="D10" i="7"/>
  <c r="E10" i="7"/>
  <c r="F10" i="7"/>
  <c r="G10" i="7"/>
  <c r="H10" i="7"/>
  <c r="I10" i="7"/>
  <c r="J10" i="7"/>
  <c r="K10" i="7"/>
  <c r="L10" i="7"/>
  <c r="M10" i="7"/>
  <c r="N10" i="7"/>
  <c r="C11" i="7"/>
  <c r="D11" i="7"/>
  <c r="E11" i="7"/>
  <c r="F11" i="7"/>
  <c r="G11" i="7"/>
  <c r="H11" i="7"/>
  <c r="I11" i="7"/>
  <c r="J11" i="7"/>
  <c r="K11" i="7"/>
  <c r="L11" i="7"/>
  <c r="M11" i="7"/>
  <c r="N11" i="7"/>
  <c r="C12" i="7"/>
  <c r="D12" i="7"/>
  <c r="E12" i="7"/>
  <c r="F12" i="7"/>
  <c r="G12" i="7"/>
  <c r="H12" i="7"/>
  <c r="I12" i="7"/>
  <c r="J12" i="7"/>
  <c r="K12" i="7"/>
  <c r="L12" i="7"/>
  <c r="M12" i="7"/>
  <c r="N12" i="7"/>
  <c r="C13" i="7"/>
  <c r="D13" i="7"/>
  <c r="E13" i="7"/>
  <c r="F13" i="7"/>
  <c r="G13" i="7"/>
  <c r="H13" i="7"/>
  <c r="I13" i="7"/>
  <c r="J13" i="7"/>
  <c r="K13" i="7"/>
  <c r="L13" i="7"/>
  <c r="M13" i="7"/>
  <c r="N13" i="7"/>
  <c r="C14" i="7"/>
  <c r="D14" i="7"/>
  <c r="E14" i="7"/>
  <c r="F14" i="7"/>
  <c r="G14" i="7"/>
  <c r="H14" i="7"/>
  <c r="I14" i="7"/>
  <c r="J14" i="7"/>
  <c r="K14" i="7"/>
  <c r="L14" i="7"/>
  <c r="M14" i="7"/>
  <c r="N14" i="7"/>
  <c r="C15" i="7"/>
  <c r="D15" i="7"/>
  <c r="E15" i="7"/>
  <c r="F15" i="7"/>
  <c r="G15" i="7"/>
  <c r="H15" i="7"/>
  <c r="I15" i="7"/>
  <c r="J15" i="7"/>
  <c r="K15" i="7"/>
  <c r="L15" i="7"/>
  <c r="M15" i="7"/>
  <c r="N15" i="7"/>
  <c r="C16" i="7"/>
  <c r="D16" i="7"/>
  <c r="E16" i="7"/>
  <c r="F16" i="7"/>
  <c r="G16" i="7"/>
  <c r="H16" i="7"/>
  <c r="I16" i="7"/>
  <c r="J16" i="7"/>
  <c r="K16" i="7"/>
  <c r="L16" i="7"/>
  <c r="M16" i="7"/>
  <c r="N16" i="7"/>
  <c r="C17" i="7"/>
  <c r="D17" i="7"/>
  <c r="E17" i="7"/>
  <c r="F17" i="7"/>
  <c r="G17" i="7"/>
  <c r="H17" i="7"/>
  <c r="I17" i="7"/>
  <c r="J17" i="7"/>
  <c r="K17" i="7"/>
  <c r="L17" i="7"/>
  <c r="M17" i="7"/>
  <c r="N17" i="7"/>
  <c r="C18" i="7"/>
  <c r="D18" i="7"/>
  <c r="E18" i="7"/>
  <c r="F18" i="7"/>
  <c r="G18" i="7"/>
  <c r="H18" i="7"/>
  <c r="I18" i="7"/>
  <c r="J18" i="7"/>
  <c r="K18" i="7"/>
  <c r="L18" i="7"/>
  <c r="M18" i="7"/>
  <c r="N18" i="7"/>
  <c r="C19" i="7"/>
  <c r="D19" i="7"/>
  <c r="E19" i="7"/>
  <c r="F19" i="7"/>
  <c r="G19" i="7"/>
  <c r="H19" i="7"/>
  <c r="I19" i="7"/>
  <c r="J19" i="7"/>
  <c r="K19" i="7"/>
  <c r="L19" i="7"/>
  <c r="M19" i="7"/>
  <c r="N19" i="7"/>
  <c r="C20" i="7"/>
  <c r="D20" i="7"/>
  <c r="E20" i="7"/>
  <c r="F20" i="7"/>
  <c r="G20" i="7"/>
  <c r="H20" i="7"/>
  <c r="I20" i="7"/>
  <c r="J20" i="7"/>
  <c r="K20" i="7"/>
  <c r="L20" i="7"/>
  <c r="M20" i="7"/>
  <c r="N20" i="7"/>
  <c r="C21" i="7"/>
  <c r="D21" i="7"/>
  <c r="E21" i="7"/>
  <c r="F21" i="7"/>
  <c r="G21" i="7"/>
  <c r="H21" i="7"/>
  <c r="I21" i="7"/>
  <c r="J21" i="7"/>
  <c r="K21" i="7"/>
  <c r="L21" i="7"/>
  <c r="M21" i="7"/>
  <c r="N21" i="7"/>
  <c r="C22" i="7"/>
  <c r="D22" i="7"/>
  <c r="E22" i="7"/>
  <c r="F22" i="7"/>
  <c r="G22" i="7"/>
  <c r="H22" i="7"/>
  <c r="I22" i="7"/>
  <c r="J22" i="7"/>
  <c r="K22" i="7"/>
  <c r="L22" i="7"/>
  <c r="M22" i="7"/>
  <c r="N22" i="7"/>
  <c r="C23" i="7"/>
  <c r="D23" i="7"/>
  <c r="E23" i="7"/>
  <c r="F23" i="7"/>
  <c r="G23" i="7"/>
  <c r="H23" i="7"/>
  <c r="I23" i="7"/>
  <c r="J23" i="7"/>
  <c r="K23" i="7"/>
  <c r="L23" i="7"/>
  <c r="M23" i="7"/>
  <c r="N23" i="7"/>
  <c r="C24" i="7"/>
  <c r="D24" i="7"/>
  <c r="E24" i="7"/>
  <c r="F24" i="7"/>
  <c r="G24" i="7"/>
  <c r="H24" i="7"/>
  <c r="I24" i="7"/>
  <c r="J24" i="7"/>
  <c r="K24" i="7"/>
  <c r="L24" i="7"/>
  <c r="M24" i="7"/>
  <c r="N24" i="7"/>
  <c r="C25" i="7"/>
  <c r="D25" i="7"/>
  <c r="E25" i="7"/>
  <c r="F25" i="7"/>
  <c r="G25" i="7"/>
  <c r="H25" i="7"/>
  <c r="I25" i="7"/>
  <c r="J25" i="7"/>
  <c r="K25" i="7"/>
  <c r="L25" i="7"/>
  <c r="M25" i="7"/>
  <c r="N25" i="7"/>
  <c r="C26" i="7"/>
  <c r="D26" i="7"/>
  <c r="E26" i="7"/>
  <c r="F26" i="7"/>
  <c r="G26" i="7"/>
  <c r="H26" i="7"/>
  <c r="I26" i="7"/>
  <c r="J26" i="7"/>
  <c r="K26" i="7"/>
  <c r="L26" i="7"/>
  <c r="M26" i="7"/>
  <c r="N26" i="7"/>
  <c r="C27" i="7"/>
  <c r="D27" i="7"/>
  <c r="E27" i="7"/>
  <c r="F27" i="7"/>
  <c r="G27" i="7"/>
  <c r="H27" i="7"/>
  <c r="I27" i="7"/>
  <c r="J27" i="7"/>
  <c r="K27" i="7"/>
  <c r="L27" i="7"/>
  <c r="M27" i="7"/>
  <c r="N27" i="7"/>
  <c r="D2" i="7"/>
  <c r="E2" i="7"/>
  <c r="F2" i="7"/>
  <c r="G2" i="7"/>
  <c r="H2" i="7"/>
  <c r="I2" i="7"/>
  <c r="J2" i="7"/>
  <c r="K2" i="7"/>
  <c r="L2" i="7"/>
  <c r="M2" i="7"/>
  <c r="N2" i="7"/>
  <c r="C2" i="7"/>
  <c r="D55" i="4"/>
  <c r="D114" i="4"/>
  <c r="D154" i="4"/>
  <c r="D156" i="4"/>
  <c r="D302" i="4"/>
  <c r="D304" i="4"/>
  <c r="D306" i="4"/>
  <c r="D308" i="4"/>
  <c r="D310" i="4"/>
  <c r="D312" i="4"/>
  <c r="C297" i="4"/>
  <c r="D297" i="4" s="1"/>
  <c r="C295" i="4"/>
  <c r="D295" i="4" s="1"/>
  <c r="C293" i="4"/>
  <c r="D293" i="4" s="1"/>
  <c r="C290" i="4"/>
  <c r="D290" i="4" s="1"/>
  <c r="C287" i="4"/>
  <c r="D287" i="4" s="1"/>
  <c r="C285" i="4"/>
  <c r="D285" i="4" s="1"/>
  <c r="C282" i="4"/>
  <c r="D282" i="4" s="1"/>
  <c r="C280" i="4"/>
  <c r="D280" i="4" s="1"/>
  <c r="C277" i="4"/>
  <c r="D277" i="4" s="1"/>
  <c r="C275" i="4"/>
  <c r="D275" i="4" s="1"/>
  <c r="C272" i="4"/>
  <c r="D272" i="4" s="1"/>
  <c r="C270" i="4"/>
  <c r="D270" i="4" s="1"/>
  <c r="C265" i="4"/>
  <c r="D265" i="4" s="1"/>
  <c r="C267" i="4"/>
  <c r="D267" i="4" s="1"/>
  <c r="C263" i="4"/>
  <c r="D263" i="4" s="1"/>
  <c r="C261" i="4"/>
  <c r="D261" i="4" s="1"/>
  <c r="C259" i="4"/>
  <c r="D259" i="4" s="1"/>
  <c r="C256" i="4"/>
  <c r="D256" i="4" s="1"/>
  <c r="C253" i="4"/>
  <c r="D253" i="4" s="1"/>
  <c r="C250" i="4"/>
  <c r="D250" i="4" s="1"/>
  <c r="C248" i="4"/>
  <c r="D248" i="4" s="1"/>
  <c r="C246" i="4"/>
  <c r="D246" i="4" s="1"/>
  <c r="C244" i="4"/>
  <c r="D244" i="4" s="1"/>
  <c r="C242" i="4"/>
  <c r="D242" i="4" s="1"/>
  <c r="C236" i="4"/>
  <c r="D236" i="4" s="1"/>
  <c r="C238" i="4"/>
  <c r="D238" i="4" s="1"/>
  <c r="C240" i="4"/>
  <c r="D240" i="4" s="1"/>
  <c r="C234" i="4"/>
  <c r="D234" i="4" s="1"/>
  <c r="C229" i="4"/>
  <c r="D229" i="4" s="1"/>
  <c r="C226" i="4"/>
  <c r="D226" i="4" s="1"/>
  <c r="C222" i="4"/>
  <c r="D222" i="4" s="1"/>
  <c r="C220" i="4"/>
  <c r="D220" i="4" s="1"/>
  <c r="C217" i="4"/>
  <c r="D217" i="4" s="1"/>
  <c r="C214" i="4"/>
  <c r="D214" i="4" s="1"/>
  <c r="C211" i="4"/>
  <c r="D211" i="4" s="1"/>
  <c r="C209" i="4"/>
  <c r="D209" i="4" s="1"/>
  <c r="C204" i="4"/>
  <c r="D204" i="4" s="1"/>
  <c r="C202" i="4"/>
  <c r="D202" i="4" s="1"/>
  <c r="C200" i="4"/>
  <c r="D200" i="4" s="1"/>
  <c r="C195" i="4"/>
  <c r="D195" i="4" s="1"/>
  <c r="C192" i="4"/>
  <c r="D192" i="4" s="1"/>
  <c r="C189" i="4"/>
  <c r="D189" i="4" s="1"/>
  <c r="C186" i="4"/>
  <c r="D186" i="4" s="1"/>
  <c r="C184" i="4"/>
  <c r="D184" i="4" s="1"/>
  <c r="C178" i="4"/>
  <c r="D178" i="4" s="1"/>
  <c r="C169" i="4"/>
  <c r="D169" i="4" s="1"/>
  <c r="C162" i="4"/>
  <c r="D162" i="4" s="1"/>
  <c r="C160" i="4"/>
  <c r="D160" i="4" s="1"/>
  <c r="C158" i="4"/>
  <c r="D158" i="4" s="1"/>
  <c r="C151" i="4"/>
  <c r="D151" i="4" s="1"/>
  <c r="C149" i="4"/>
  <c r="D149" i="4" s="1"/>
  <c r="C147" i="4"/>
  <c r="D147" i="4" s="1"/>
  <c r="C145" i="4"/>
  <c r="D145" i="4" s="1"/>
  <c r="C141" i="4"/>
  <c r="D141" i="4" s="1"/>
  <c r="C139" i="4"/>
  <c r="D139" i="4" s="1"/>
  <c r="C137" i="4"/>
  <c r="D137" i="4" s="1"/>
  <c r="C134" i="4"/>
  <c r="D134" i="4" s="1"/>
  <c r="C132" i="4"/>
  <c r="D132" i="4" s="1"/>
  <c r="C130" i="4"/>
  <c r="D130" i="4" s="1"/>
  <c r="C128" i="4"/>
  <c r="D128" i="4" s="1"/>
  <c r="C123" i="4"/>
  <c r="D123" i="4" s="1"/>
  <c r="C121" i="4"/>
  <c r="D121" i="4" s="1"/>
  <c r="C119" i="4"/>
  <c r="D119" i="4" s="1"/>
  <c r="C116" i="4"/>
  <c r="D116" i="4" s="1"/>
  <c r="C112" i="4"/>
  <c r="D112" i="4" s="1"/>
  <c r="C109" i="4"/>
  <c r="D109" i="4" s="1"/>
  <c r="C107" i="4"/>
  <c r="D107" i="4" s="1"/>
  <c r="C105" i="4"/>
  <c r="D105" i="4" s="1"/>
  <c r="C103" i="4"/>
  <c r="D103" i="4" s="1"/>
  <c r="C101" i="4"/>
  <c r="D101" i="4" s="1"/>
  <c r="C99" i="4"/>
  <c r="D99" i="4" s="1"/>
  <c r="C97" i="4"/>
  <c r="D97" i="4" s="1"/>
  <c r="C94" i="4"/>
  <c r="D94" i="4" s="1"/>
  <c r="C92" i="4"/>
  <c r="D92" i="4" s="1"/>
  <c r="C90" i="4"/>
  <c r="D90" i="4" s="1"/>
  <c r="C88" i="4"/>
  <c r="D88" i="4" s="1"/>
  <c r="C86" i="4"/>
  <c r="D86" i="4" s="1"/>
  <c r="C81" i="4"/>
  <c r="D81" i="4" s="1"/>
  <c r="C83" i="4"/>
  <c r="D83" i="4" s="1"/>
  <c r="C79" i="4"/>
  <c r="D79" i="4" s="1"/>
  <c r="C69" i="4"/>
  <c r="D69" i="4" s="1"/>
  <c r="C65" i="4"/>
  <c r="D65" i="4" s="1"/>
  <c r="C61" i="4"/>
  <c r="D61" i="4" s="1"/>
  <c r="C57" i="4"/>
  <c r="D57" i="4" s="1"/>
  <c r="D13" i="4" l="1"/>
  <c r="C53" i="4" l="1"/>
  <c r="D53" i="4" s="1"/>
  <c r="C50" i="4"/>
  <c r="D50" i="4" s="1"/>
  <c r="C45" i="4"/>
  <c r="D45" i="4" s="1"/>
  <c r="C41" i="4"/>
  <c r="D41" i="4" s="1"/>
  <c r="C23" i="4"/>
  <c r="D23" i="4" s="1"/>
  <c r="C21" i="4"/>
  <c r="D21" i="4" s="1"/>
  <c r="C19" i="4"/>
  <c r="D19" i="4" s="1"/>
  <c r="C15" i="4"/>
  <c r="D15" i="4" s="1"/>
  <c r="C10" i="4"/>
  <c r="D10" i="4" s="1"/>
  <c r="C8" i="4"/>
  <c r="D8" i="4" s="1"/>
  <c r="C2" i="4"/>
  <c r="D2" i="4" s="1"/>
  <c r="E206" i="1" l="1"/>
  <c r="E207" i="1"/>
  <c r="E62" i="1"/>
  <c r="E116" i="1"/>
  <c r="E107" i="1"/>
  <c r="E63" i="1"/>
  <c r="E64" i="1"/>
  <c r="E117" i="1"/>
  <c r="E118" i="1"/>
  <c r="E208" i="1"/>
  <c r="E209" i="1"/>
  <c r="E119" i="1"/>
  <c r="E120" i="1"/>
  <c r="E2" i="1"/>
  <c r="E65" i="1"/>
  <c r="E187" i="1"/>
  <c r="E17" i="1"/>
  <c r="E135" i="1"/>
  <c r="E66" i="1"/>
  <c r="E3" i="1"/>
  <c r="E112" i="1"/>
  <c r="E210" i="1"/>
  <c r="E211" i="1"/>
  <c r="E23" i="1"/>
  <c r="E67" i="1"/>
  <c r="E121" i="1"/>
  <c r="E188" i="1"/>
  <c r="E68" i="1"/>
  <c r="E69" i="1"/>
  <c r="E153" i="1"/>
  <c r="E136" i="1"/>
  <c r="E137" i="1"/>
  <c r="E4" i="1"/>
  <c r="E212" i="1"/>
  <c r="E213" i="1"/>
  <c r="E154" i="1"/>
  <c r="E10" i="1"/>
  <c r="E11" i="1"/>
  <c r="E113" i="1"/>
  <c r="E138" i="1"/>
  <c r="E35" i="1"/>
  <c r="E214" i="1"/>
  <c r="E215" i="1"/>
  <c r="E122" i="1"/>
  <c r="E139" i="1"/>
  <c r="E155" i="1"/>
  <c r="E70" i="1"/>
  <c r="E71" i="1"/>
  <c r="E5" i="1"/>
  <c r="E140" i="1"/>
  <c r="E141" i="1"/>
  <c r="E44" i="1"/>
  <c r="E123" i="1"/>
  <c r="E124" i="1"/>
  <c r="E125" i="1"/>
  <c r="E126" i="1"/>
  <c r="E114" i="1"/>
  <c r="E108" i="1"/>
  <c r="E189" i="1"/>
  <c r="E45" i="1"/>
  <c r="E14" i="1"/>
  <c r="E103" i="1"/>
  <c r="E109" i="1"/>
  <c r="E72" i="1"/>
  <c r="E186" i="1"/>
  <c r="E73" i="1"/>
  <c r="E97" i="1"/>
  <c r="E6" i="1"/>
  <c r="E182" i="1"/>
  <c r="E198" i="1"/>
  <c r="E190" i="1"/>
  <c r="E46" i="1"/>
  <c r="E47" i="1"/>
  <c r="E104" i="1"/>
  <c r="E98" i="1"/>
  <c r="E59" i="1"/>
  <c r="E191" i="1"/>
  <c r="E216" i="1"/>
  <c r="E217" i="1"/>
  <c r="E48" i="1"/>
  <c r="E12" i="1"/>
  <c r="E183" i="1"/>
  <c r="E115" i="1"/>
  <c r="E156" i="1"/>
  <c r="E157" i="1"/>
  <c r="E74" i="1"/>
  <c r="E203" i="1"/>
  <c r="E184" i="1"/>
  <c r="E218" i="1"/>
  <c r="E219" i="1"/>
  <c r="E199" i="1"/>
  <c r="E158" i="1"/>
  <c r="E159" i="1"/>
  <c r="E160" i="1"/>
  <c r="E75" i="1"/>
  <c r="E36" i="1"/>
  <c r="E24" i="1"/>
  <c r="E76" i="1"/>
  <c r="E49" i="1"/>
  <c r="E25" i="1"/>
  <c r="E161" i="1"/>
  <c r="E162" i="1"/>
  <c r="E163" i="1"/>
  <c r="E164" i="1"/>
  <c r="E77" i="1"/>
  <c r="E78" i="1"/>
  <c r="E79" i="1"/>
  <c r="E80" i="1"/>
  <c r="E81" i="1"/>
  <c r="E82" i="1"/>
  <c r="E83" i="1"/>
  <c r="E105" i="1"/>
  <c r="E99" i="1"/>
  <c r="E142" i="1"/>
  <c r="E50" i="1"/>
  <c r="E60" i="1"/>
  <c r="E13" i="1"/>
  <c r="E18" i="1"/>
  <c r="E19" i="1"/>
  <c r="E127" i="1"/>
  <c r="E128" i="1"/>
  <c r="E129" i="1"/>
  <c r="E110" i="1"/>
  <c r="E192" i="1"/>
  <c r="E84" i="1"/>
  <c r="E165" i="1"/>
  <c r="E100" i="1"/>
  <c r="E20" i="1"/>
  <c r="E166" i="1"/>
  <c r="E200" i="1"/>
  <c r="E130" i="1"/>
  <c r="E143" i="1"/>
  <c r="E144" i="1"/>
  <c r="E145" i="1"/>
  <c r="E61" i="1"/>
  <c r="E167" i="1"/>
  <c r="E168" i="1"/>
  <c r="E51" i="1"/>
  <c r="E26" i="1"/>
  <c r="E27" i="1"/>
  <c r="E169" i="1"/>
  <c r="E170" i="1"/>
  <c r="E171" i="1"/>
  <c r="E85" i="1"/>
  <c r="E86" i="1"/>
  <c r="E87" i="1"/>
  <c r="E146" i="1"/>
  <c r="E147" i="1"/>
  <c r="E148" i="1"/>
  <c r="E149" i="1"/>
  <c r="E52" i="1"/>
  <c r="E53" i="1"/>
  <c r="E54" i="1"/>
  <c r="E21" i="1"/>
  <c r="E22" i="1"/>
  <c r="E131" i="1"/>
  <c r="E132" i="1"/>
  <c r="E193" i="1"/>
  <c r="E194" i="1"/>
  <c r="E195" i="1"/>
  <c r="E28" i="1"/>
  <c r="E55" i="1"/>
  <c r="E88" i="1"/>
  <c r="E15" i="1"/>
  <c r="E172" i="1"/>
  <c r="E37" i="1"/>
  <c r="E29" i="1"/>
  <c r="E173" i="1"/>
  <c r="E89" i="1"/>
  <c r="E204" i="1"/>
  <c r="E7" i="1"/>
  <c r="E30" i="1"/>
  <c r="E174" i="1"/>
  <c r="E175" i="1"/>
  <c r="E90" i="1"/>
  <c r="E8" i="1"/>
  <c r="E150" i="1"/>
  <c r="E151" i="1"/>
  <c r="E196" i="1"/>
  <c r="E111" i="1"/>
  <c r="E220" i="1"/>
  <c r="E176" i="1"/>
  <c r="E185" i="1"/>
  <c r="E31" i="1"/>
  <c r="E91" i="1"/>
  <c r="E221" i="1"/>
  <c r="E92" i="1"/>
  <c r="E56" i="1"/>
  <c r="E32" i="1"/>
  <c r="E33" i="1"/>
  <c r="E34" i="1"/>
  <c r="E177" i="1"/>
  <c r="E178" i="1"/>
  <c r="E179" i="1"/>
  <c r="E93" i="1"/>
  <c r="E38" i="1"/>
  <c r="E39" i="1"/>
  <c r="E40" i="1"/>
  <c r="E101" i="1"/>
  <c r="E9" i="1"/>
  <c r="E152" i="1"/>
  <c r="E57" i="1"/>
  <c r="E201" i="1"/>
  <c r="E133" i="1"/>
  <c r="E134" i="1"/>
  <c r="E16" i="1"/>
  <c r="E202" i="1"/>
  <c r="E180" i="1"/>
  <c r="E94" i="1"/>
  <c r="E58" i="1"/>
  <c r="E205" i="1"/>
  <c r="E95" i="1"/>
  <c r="E96" i="1"/>
  <c r="E181" i="1"/>
  <c r="E197" i="1"/>
  <c r="E102" i="1"/>
  <c r="E41" i="1"/>
  <c r="E42" i="1"/>
  <c r="E43" i="1"/>
  <c r="E106" i="1"/>
  <c r="E8" i="2"/>
  <c r="E7" i="2"/>
  <c r="E6" i="2"/>
  <c r="E5" i="2"/>
  <c r="E4" i="2"/>
  <c r="E3" i="2"/>
  <c r="E2" i="2"/>
  <c r="E10" i="2" s="1"/>
  <c r="F3" i="2" s="1"/>
  <c r="F2" i="2" l="1"/>
  <c r="F8" i="2"/>
  <c r="F7" i="2"/>
  <c r="F6" i="2"/>
  <c r="F5" i="2"/>
  <c r="F4" i="2"/>
</calcChain>
</file>

<file path=xl/sharedStrings.xml><?xml version="1.0" encoding="utf-8"?>
<sst xmlns="http://schemas.openxmlformats.org/spreadsheetml/2006/main" count="1984" uniqueCount="597">
  <si>
    <t>企业名称</t>
  </si>
  <si>
    <t>所在省份</t>
  </si>
  <si>
    <t>产能 (千吨/年)</t>
  </si>
  <si>
    <t>城市</t>
  </si>
  <si>
    <t>City</t>
  </si>
  <si>
    <t>经度</t>
  </si>
  <si>
    <t>纬度</t>
  </si>
  <si>
    <t>宝丰能源</t>
  </si>
  <si>
    <t>宁夏回族自治区</t>
  </si>
  <si>
    <t>银川市</t>
  </si>
  <si>
    <t>Yinchuan</t>
  </si>
  <si>
    <t>煤制甲醇</t>
  </si>
  <si>
    <t>焦炉煤气制甲醇</t>
  </si>
  <si>
    <t>中天合创</t>
  </si>
  <si>
    <t>内蒙古自治区</t>
  </si>
  <si>
    <t>鄂尔多斯市</t>
  </si>
  <si>
    <t>Ordos</t>
  </si>
  <si>
    <t>延长中煤榆能化</t>
  </si>
  <si>
    <t>陕西省</t>
  </si>
  <si>
    <t>榆林市</t>
  </si>
  <si>
    <t>Yulin</t>
  </si>
  <si>
    <t>国家能源宁夏煤业</t>
  </si>
  <si>
    <t>银川市灵武市</t>
  </si>
  <si>
    <t>内蒙古久泰</t>
  </si>
  <si>
    <t>呼和浩特市</t>
  </si>
  <si>
    <t>Hohhot</t>
  </si>
  <si>
    <t>荣信化工</t>
  </si>
  <si>
    <t>蒲城清洁能源</t>
  </si>
  <si>
    <t>渭南市</t>
  </si>
  <si>
    <t>Weinan</t>
  </si>
  <si>
    <t>延长石油延安能化</t>
  </si>
  <si>
    <t>天然气制甲醇</t>
  </si>
  <si>
    <t>国能榆林能源</t>
  </si>
  <si>
    <t>中煤陕西榆林</t>
  </si>
  <si>
    <t>中安联合</t>
  </si>
  <si>
    <t>安徽省</t>
  </si>
  <si>
    <t>淮南市</t>
  </si>
  <si>
    <t>Huainan</t>
  </si>
  <si>
    <t>神华包头</t>
  </si>
  <si>
    <t>包头市</t>
  </si>
  <si>
    <t>Baotou</t>
  </si>
  <si>
    <t>神华煤制油新疆</t>
  </si>
  <si>
    <t>新疆维吾尔自治区</t>
  </si>
  <si>
    <t>乌鲁木齐市</t>
  </si>
  <si>
    <t>Urumqi</t>
  </si>
  <si>
    <t>广西华谊能源化工</t>
  </si>
  <si>
    <t>广西壮族自治区</t>
  </si>
  <si>
    <t>钦州市</t>
  </si>
  <si>
    <t>Qinzhou</t>
  </si>
  <si>
    <t>华鲁恒升</t>
  </si>
  <si>
    <t>山东省</t>
  </si>
  <si>
    <t>德州市</t>
  </si>
  <si>
    <t>Dezhou</t>
  </si>
  <si>
    <t>大唐多伦</t>
  </si>
  <si>
    <t>多伦县</t>
  </si>
  <si>
    <t>Duolun</t>
  </si>
  <si>
    <t>安徽昊源</t>
  </si>
  <si>
    <t>阜阳市</t>
  </si>
  <si>
    <t>Fuyang</t>
  </si>
  <si>
    <t>盐湖钾肥</t>
  </si>
  <si>
    <t>青海省</t>
  </si>
  <si>
    <t>格尔木山市</t>
  </si>
  <si>
    <t>Golmud Mountain</t>
  </si>
  <si>
    <t>中海石油化学股份有限公司</t>
  </si>
  <si>
    <t>海南省</t>
  </si>
  <si>
    <t>东方市</t>
  </si>
  <si>
    <t>Dongfang</t>
  </si>
  <si>
    <t>*新奥达旗</t>
  </si>
  <si>
    <t>兖矿榆林</t>
  </si>
  <si>
    <t>广汇新能源</t>
  </si>
  <si>
    <t>哈密市</t>
  </si>
  <si>
    <t xml:space="preserve">Hami </t>
  </si>
  <si>
    <t>中煤鄂尔多斯</t>
  </si>
  <si>
    <t>内蒙古博源</t>
  </si>
  <si>
    <t>乌兰察布市</t>
  </si>
  <si>
    <t>Ulanqab</t>
  </si>
  <si>
    <t>上海华谊</t>
  </si>
  <si>
    <t>上海市</t>
  </si>
  <si>
    <t>Shanghai</t>
  </si>
  <si>
    <t>鲁西化工</t>
  </si>
  <si>
    <t>聊城市</t>
  </si>
  <si>
    <t>Liaocheng</t>
  </si>
  <si>
    <t>山东联泓化学</t>
  </si>
  <si>
    <t>枣庄市</t>
  </si>
  <si>
    <t>Zaozhuang</t>
  </si>
  <si>
    <t>临涣焦化煤炭</t>
  </si>
  <si>
    <t>淮北市</t>
  </si>
  <si>
    <t>Huaibei</t>
  </si>
  <si>
    <t>华昱</t>
  </si>
  <si>
    <t>山西省</t>
  </si>
  <si>
    <t>朔州市</t>
  </si>
  <si>
    <t>Shuozhou</t>
  </si>
  <si>
    <t>川维</t>
  </si>
  <si>
    <t>重庆市</t>
  </si>
  <si>
    <t>Chongqing</t>
  </si>
  <si>
    <t>卡贝乐化工</t>
  </si>
  <si>
    <t>青海桂鲁</t>
  </si>
  <si>
    <t>Qinghai</t>
  </si>
  <si>
    <t>联盟化工</t>
  </si>
  <si>
    <t>潍坊市</t>
  </si>
  <si>
    <t>Weifang</t>
  </si>
  <si>
    <t>宝泰隆甲醇</t>
  </si>
  <si>
    <t>黑龙江省</t>
  </si>
  <si>
    <t>七台河市</t>
  </si>
  <si>
    <t>Qitaihe</t>
  </si>
  <si>
    <t>凯越煤化</t>
  </si>
  <si>
    <t>山东兖矿国宏</t>
  </si>
  <si>
    <t>济宁市</t>
  </si>
  <si>
    <t>Jining</t>
  </si>
  <si>
    <t>同煤广发</t>
  </si>
  <si>
    <t>大同市</t>
  </si>
  <si>
    <t>Datong</t>
  </si>
  <si>
    <t>中煤远兴</t>
  </si>
  <si>
    <t>内蒙古东华</t>
  </si>
  <si>
    <t>晋煤中能</t>
  </si>
  <si>
    <t>万华化学</t>
  </si>
  <si>
    <t>烟台市</t>
  </si>
  <si>
    <t>Yantai</t>
  </si>
  <si>
    <t>晋控明水</t>
  </si>
  <si>
    <t>济南市</t>
  </si>
  <si>
    <t>Jinan</t>
  </si>
  <si>
    <t>河南心连心</t>
  </si>
  <si>
    <t>河南省</t>
  </si>
  <si>
    <t>新乡市</t>
  </si>
  <si>
    <t>Xinxiang</t>
  </si>
  <si>
    <t>神木化工</t>
  </si>
  <si>
    <t>长青能源</t>
  </si>
  <si>
    <t>宝鸡市</t>
  </si>
  <si>
    <t>Baoji</t>
  </si>
  <si>
    <t>陕西渭化</t>
  </si>
  <si>
    <t>润中清洁能源</t>
  </si>
  <si>
    <t>咸阳市</t>
  </si>
  <si>
    <t>Xianyang</t>
  </si>
  <si>
    <t>青海中浩</t>
  </si>
  <si>
    <t>格尔木市</t>
  </si>
  <si>
    <t>Golmud</t>
  </si>
  <si>
    <t>中石化长城能源</t>
  </si>
  <si>
    <t>Lingwu</t>
  </si>
  <si>
    <t>新疆天智辰业</t>
  </si>
  <si>
    <t>石河子市</t>
  </si>
  <si>
    <t>Shihezi</t>
  </si>
  <si>
    <t>鹤壁煤化工</t>
  </si>
  <si>
    <t>鹤壁市</t>
  </si>
  <si>
    <t>Hebi</t>
  </si>
  <si>
    <t>华亨中煦</t>
  </si>
  <si>
    <t>甘肃省</t>
  </si>
  <si>
    <t>平凉市</t>
  </si>
  <si>
    <t>Pingliang</t>
  </si>
  <si>
    <t>江西心连心</t>
  </si>
  <si>
    <t>江西省</t>
  </si>
  <si>
    <t>九江市</t>
  </si>
  <si>
    <t>Jiujiang</t>
  </si>
  <si>
    <t>宁夏鲲鹏</t>
  </si>
  <si>
    <t>广纳新材料</t>
  </si>
  <si>
    <t>乌海市</t>
  </si>
  <si>
    <t>Wuhai</t>
  </si>
  <si>
    <t>天津渤化永利</t>
  </si>
  <si>
    <t>天津市</t>
  </si>
  <si>
    <t>Tianjin</t>
  </si>
  <si>
    <t>乌海君正硅铁</t>
  </si>
  <si>
    <t>索普化工</t>
  </si>
  <si>
    <t>江苏省</t>
  </si>
  <si>
    <t>安徽华谊</t>
  </si>
  <si>
    <t>芜湖市</t>
  </si>
  <si>
    <t>Wuhu</t>
  </si>
  <si>
    <t>四川玖源</t>
  </si>
  <si>
    <t>四川省</t>
  </si>
  <si>
    <t>达州市</t>
  </si>
  <si>
    <t>Dazhou</t>
  </si>
  <si>
    <t>先锋化工</t>
  </si>
  <si>
    <t>云南省</t>
  </si>
  <si>
    <t>昆明市</t>
  </si>
  <si>
    <t>Kunming</t>
  </si>
  <si>
    <t>新疆新业物流</t>
  </si>
  <si>
    <t>五家渠市</t>
  </si>
  <si>
    <t>Wujiaqu</t>
  </si>
  <si>
    <t>中原大化</t>
  </si>
  <si>
    <t>濮阳市</t>
  </si>
  <si>
    <t>Puyang</t>
  </si>
  <si>
    <t>永城龙宇</t>
  </si>
  <si>
    <t>大连恒力</t>
  </si>
  <si>
    <t>辽宁省</t>
  </si>
  <si>
    <t>大连市</t>
  </si>
  <si>
    <t>Dalian</t>
  </si>
  <si>
    <t>南京诚志</t>
  </si>
  <si>
    <t>南京市</t>
  </si>
  <si>
    <t>Nanjing</t>
  </si>
  <si>
    <t>荆门盈德</t>
  </si>
  <si>
    <t>湖北省</t>
  </si>
  <si>
    <t>荆门市</t>
  </si>
  <si>
    <t>Jingmen</t>
  </si>
  <si>
    <t>巴州东辰</t>
  </si>
  <si>
    <t>轮台县群巴克镇</t>
  </si>
  <si>
    <t xml:space="preserve">Qunbak </t>
  </si>
  <si>
    <t>卫辉豫北</t>
  </si>
  <si>
    <t>重庆建滔</t>
  </si>
  <si>
    <t>泸天化</t>
  </si>
  <si>
    <t>泸州市</t>
  </si>
  <si>
    <t>Luzhou</t>
  </si>
  <si>
    <t>格尔木甲醇</t>
  </si>
  <si>
    <t>阳煤丰喜</t>
  </si>
  <si>
    <t>运城市</t>
  </si>
  <si>
    <t>Yuncheng</t>
  </si>
  <si>
    <t>山西永鑫</t>
  </si>
  <si>
    <t>临汾市</t>
  </si>
  <si>
    <t>Linfen</t>
  </si>
  <si>
    <t>鄂尔多斯国泰</t>
  </si>
  <si>
    <t>浙江石化</t>
  </si>
  <si>
    <t>浙江省</t>
  </si>
  <si>
    <t>舟山市</t>
  </si>
  <si>
    <t>Zhoushan</t>
  </si>
  <si>
    <t>达州钢铁</t>
  </si>
  <si>
    <t>云南云维</t>
  </si>
  <si>
    <t>曲靖市</t>
  </si>
  <si>
    <t>Qujing</t>
  </si>
  <si>
    <t>金鼎潞宝</t>
  </si>
  <si>
    <t>长治市</t>
  </si>
  <si>
    <t>Changzhi</t>
  </si>
  <si>
    <t>山西焦化</t>
  </si>
  <si>
    <t>山西天泽</t>
  </si>
  <si>
    <t>晋城市</t>
  </si>
  <si>
    <t>Jincheng</t>
  </si>
  <si>
    <t>沪蒙能源</t>
  </si>
  <si>
    <t>阿拉善盟</t>
  </si>
  <si>
    <t>Alxa League</t>
  </si>
  <si>
    <t>中煤龙化</t>
  </si>
  <si>
    <t>哈尔滨市</t>
  </si>
  <si>
    <t>Harbin</t>
  </si>
  <si>
    <t>河北旭阳能源</t>
  </si>
  <si>
    <t>河北省</t>
  </si>
  <si>
    <t>保定市</t>
  </si>
  <si>
    <t>Baoding</t>
  </si>
  <si>
    <t>苏里格天然气化工</t>
  </si>
  <si>
    <t>中新化工</t>
  </si>
  <si>
    <t>峰煤焦化</t>
  </si>
  <si>
    <t>邯郸市</t>
  </si>
  <si>
    <t>Handan</t>
  </si>
  <si>
    <t>益达化工</t>
  </si>
  <si>
    <t>衡水市</t>
  </si>
  <si>
    <t>Hengshui</t>
  </si>
  <si>
    <t>天溪煤制油</t>
  </si>
  <si>
    <t>新绛中信</t>
  </si>
  <si>
    <t>孝义鹏飞</t>
  </si>
  <si>
    <t>吕梁市</t>
  </si>
  <si>
    <t>Lvliang</t>
  </si>
  <si>
    <t>神华西来峰</t>
  </si>
  <si>
    <t>内蒙古黑猫</t>
  </si>
  <si>
    <t>巴彦淖尔市</t>
  </si>
  <si>
    <t>Bayan Nu</t>
  </si>
  <si>
    <t>西北能源</t>
  </si>
  <si>
    <t>内蒙古易高煤化</t>
  </si>
  <si>
    <t>内蒙金诚泰</t>
  </si>
  <si>
    <t>内蒙古庆华</t>
  </si>
  <si>
    <t>三聚家景</t>
  </si>
  <si>
    <t>大连大化</t>
  </si>
  <si>
    <t>沂州科技</t>
  </si>
  <si>
    <t>徐州市</t>
  </si>
  <si>
    <t>Xuzhou</t>
  </si>
  <si>
    <t>鲁南化工</t>
  </si>
  <si>
    <t>义马综能</t>
  </si>
  <si>
    <t>三门峡市</t>
  </si>
  <si>
    <t>Sanmenxia</t>
  </si>
  <si>
    <t>三宁化工</t>
  </si>
  <si>
    <t>宜昌市</t>
  </si>
  <si>
    <t>Yichang</t>
  </si>
  <si>
    <t>重庆万盛</t>
  </si>
  <si>
    <t>贵州磷化</t>
  </si>
  <si>
    <t>贵州省</t>
  </si>
  <si>
    <t>贵阳市</t>
  </si>
  <si>
    <t>Guiyang</t>
  </si>
  <si>
    <t>贵州鑫晟</t>
  </si>
  <si>
    <t>六盘水市</t>
  </si>
  <si>
    <t>Liupanshui</t>
  </si>
  <si>
    <t>陕西兴化</t>
  </si>
  <si>
    <t>黄陵煤化工</t>
  </si>
  <si>
    <t>延安市</t>
  </si>
  <si>
    <t>Yanan</t>
  </si>
  <si>
    <t>延长榆林煤化</t>
  </si>
  <si>
    <t>和宁化学</t>
  </si>
  <si>
    <t>兖矿新疆</t>
  </si>
  <si>
    <t>世林化工</t>
  </si>
  <si>
    <t>梗阳焦化</t>
  </si>
  <si>
    <t>太原市</t>
  </si>
  <si>
    <t>Taiyuan</t>
  </si>
  <si>
    <t>徐州龙兴泰</t>
  </si>
  <si>
    <t>贵州桐梓化工</t>
  </si>
  <si>
    <t>遵义市</t>
  </si>
  <si>
    <t>Zunyi</t>
  </si>
  <si>
    <t>山西亚鑫新能</t>
  </si>
  <si>
    <t>水富云天化</t>
  </si>
  <si>
    <t>昭通市</t>
  </si>
  <si>
    <t>Zhaotong</t>
  </si>
  <si>
    <t>陕西精益</t>
  </si>
  <si>
    <t>盛隆化工</t>
  </si>
  <si>
    <t>荣信集团</t>
  </si>
  <si>
    <t>新泰正大</t>
  </si>
  <si>
    <t>泰安市</t>
  </si>
  <si>
    <t>Taian</t>
  </si>
  <si>
    <t>湖北华强</t>
  </si>
  <si>
    <t>鑫东亨</t>
  </si>
  <si>
    <t>骏捷</t>
  </si>
  <si>
    <t>义马气化</t>
  </si>
  <si>
    <t>唐山中润</t>
  </si>
  <si>
    <t>唐山市</t>
  </si>
  <si>
    <t>Tangshan</t>
  </si>
  <si>
    <t>沧州中铁</t>
  </si>
  <si>
    <t>沧州市</t>
  </si>
  <si>
    <t>Cangzhou</t>
  </si>
  <si>
    <t>山西悦安达</t>
  </si>
  <si>
    <t>兰花清洁能源</t>
  </si>
  <si>
    <t>临汾同世达</t>
  </si>
  <si>
    <t>包钢</t>
  </si>
  <si>
    <t>鄂尔多斯新杭</t>
  </si>
  <si>
    <t>东能化工</t>
  </si>
  <si>
    <t>阳煤恒通</t>
  </si>
  <si>
    <t>临沂市</t>
  </si>
  <si>
    <t>Linyi</t>
  </si>
  <si>
    <t>兖矿国际</t>
  </si>
  <si>
    <t>金能焦化</t>
  </si>
  <si>
    <t>阳煤平原</t>
  </si>
  <si>
    <t>河南开祥</t>
  </si>
  <si>
    <t>安阳市</t>
  </si>
  <si>
    <t>Anyang</t>
  </si>
  <si>
    <t>濮阳龙宇</t>
  </si>
  <si>
    <t>平煤蓝天</t>
  </si>
  <si>
    <t>驻马店市</t>
  </si>
  <si>
    <t>Zhumadian</t>
  </si>
  <si>
    <t>贵州天福</t>
  </si>
  <si>
    <t>福泉市</t>
  </si>
  <si>
    <t>Fuquan</t>
  </si>
  <si>
    <t>毕节东能</t>
  </si>
  <si>
    <t>毕节市</t>
  </si>
  <si>
    <t>Bijie</t>
  </si>
  <si>
    <t>陕焦化工</t>
  </si>
  <si>
    <t>奥维乾元</t>
  </si>
  <si>
    <t>新疆国泰新华矿业</t>
  </si>
  <si>
    <t>吉木萨尔县</t>
  </si>
  <si>
    <t>Jimsar</t>
  </si>
  <si>
    <t>库车新成</t>
  </si>
  <si>
    <t>阿克苏地区（白水城）</t>
  </si>
  <si>
    <t>Aksu</t>
  </si>
  <si>
    <t>拜城众泰</t>
  </si>
  <si>
    <t>阿克苏地区拜城县拜城镇</t>
  </si>
  <si>
    <t>旭阳化工</t>
  </si>
  <si>
    <t>鹤壁宝马</t>
  </si>
  <si>
    <t>中石油新材料</t>
  </si>
  <si>
    <t>兰州蓝星</t>
  </si>
  <si>
    <t>兰州市</t>
  </si>
  <si>
    <t>Lanzhou</t>
  </si>
  <si>
    <t>大土河焦化</t>
  </si>
  <si>
    <t>大庆甲醇</t>
  </si>
  <si>
    <t>大庆市</t>
  </si>
  <si>
    <t>Daqing</t>
  </si>
  <si>
    <t>河北金石</t>
  </si>
  <si>
    <t>石家庄市</t>
  </si>
  <si>
    <t>Shijiazhuang</t>
  </si>
  <si>
    <t>山西蔺鑫煤焦化</t>
  </si>
  <si>
    <t>旭峰合源</t>
  </si>
  <si>
    <t>尾气制甲醇</t>
  </si>
  <si>
    <t>宁波巨化</t>
  </si>
  <si>
    <t>宁波市</t>
  </si>
  <si>
    <t>Ningbo</t>
  </si>
  <si>
    <t>安徽曙光</t>
  </si>
  <si>
    <t>安庆市</t>
  </si>
  <si>
    <t>Anqing</t>
  </si>
  <si>
    <t>河北华丰能源</t>
  </si>
  <si>
    <t>山西晋丰</t>
  </si>
  <si>
    <t>宏源煤业</t>
  </si>
  <si>
    <t>赤峰博元</t>
  </si>
  <si>
    <t>赤峰市</t>
  </si>
  <si>
    <t>Chifeng</t>
  </si>
  <si>
    <t>安徽泉盛</t>
  </si>
  <si>
    <t>滁州市</t>
  </si>
  <si>
    <t>Chuzhou</t>
  </si>
  <si>
    <t>山东恒信</t>
  </si>
  <si>
    <t>铁雄新沙</t>
  </si>
  <si>
    <t>菏泽市</t>
  </si>
  <si>
    <t>Heze</t>
  </si>
  <si>
    <t>新疆心连心</t>
  </si>
  <si>
    <t>奇台县</t>
  </si>
  <si>
    <t>Qitai</t>
  </si>
  <si>
    <t>宁夏庆华</t>
  </si>
  <si>
    <t>吴忠市</t>
  </si>
  <si>
    <t>Wuzhong</t>
  </si>
  <si>
    <t>盛发焦化</t>
  </si>
  <si>
    <t>山西光大</t>
  </si>
  <si>
    <t>万利</t>
  </si>
  <si>
    <t>绵阳市</t>
  </si>
  <si>
    <t>Mianyang</t>
  </si>
  <si>
    <t>唐山古玉</t>
  </si>
  <si>
    <t>神华巴彦淖尔</t>
  </si>
  <si>
    <t>苑巴彦淖尔市</t>
  </si>
  <si>
    <t>Bayan</t>
  </si>
  <si>
    <t>吉林省</t>
  </si>
  <si>
    <t>通化市</t>
  </si>
  <si>
    <t>Tonghua</t>
  </si>
  <si>
    <t>电力冶金</t>
  </si>
  <si>
    <t>河南顺成</t>
  </si>
  <si>
    <t>新化化肥</t>
  </si>
  <si>
    <t>hengshui</t>
  </si>
  <si>
    <t>河北正元</t>
  </si>
  <si>
    <t>万丰兴</t>
  </si>
  <si>
    <t>兰花丹峰</t>
  </si>
  <si>
    <t>晋能天源山西化工</t>
  </si>
  <si>
    <t>五麟煤焦</t>
  </si>
  <si>
    <t>蒙西煤化</t>
  </si>
  <si>
    <t>建龙化工</t>
  </si>
  <si>
    <t>双鸭山市</t>
  </si>
  <si>
    <t>Shuangyashan</t>
  </si>
  <si>
    <t>隆鹏煤炭</t>
  </si>
  <si>
    <t>黑龙江亿达信</t>
  </si>
  <si>
    <t>江苏恒鑫</t>
  </si>
  <si>
    <t>连云港市</t>
  </si>
  <si>
    <t>Lianyungang</t>
  </si>
  <si>
    <t>安徽红四方</t>
  </si>
  <si>
    <t>合肥市</t>
  </si>
  <si>
    <t>Hefei</t>
  </si>
  <si>
    <t>齐鲁石化</t>
  </si>
  <si>
    <t>淄博市</t>
  </si>
  <si>
    <t>Zibo</t>
  </si>
  <si>
    <t>中鸿煤化</t>
  </si>
  <si>
    <t>平顶山市</t>
  </si>
  <si>
    <t>Pingdingshan</t>
  </si>
  <si>
    <t>云南解化</t>
  </si>
  <si>
    <t>开远市</t>
  </si>
  <si>
    <t>Kaiyuan</t>
  </si>
  <si>
    <t>咸阳石油化工</t>
  </si>
  <si>
    <t>陕西黑猫</t>
  </si>
  <si>
    <t>甘肃刘化</t>
  </si>
  <si>
    <t>‌永靖县</t>
  </si>
  <si>
    <t>Yongjing</t>
  </si>
  <si>
    <t>昆钢煤焦化</t>
  </si>
  <si>
    <t>通州煤焦</t>
  </si>
  <si>
    <t>九鼎化工</t>
  </si>
  <si>
    <t>河南首创</t>
  </si>
  <si>
    <t>万华化学宁波</t>
  </si>
  <si>
    <t>旭阳中燃</t>
  </si>
  <si>
    <t>包头经纬</t>
  </si>
  <si>
    <t>山西盛隆泰达</t>
  </si>
  <si>
    <t>新疆美克</t>
  </si>
  <si>
    <t>库尔勒市</t>
  </si>
  <si>
    <t>Korla</t>
  </si>
  <si>
    <t>江苏华昌</t>
  </si>
  <si>
    <t>苏州市</t>
  </si>
  <si>
    <t>Suzhou</t>
  </si>
  <si>
    <t>吉伟煤焦</t>
  </si>
  <si>
    <t>双鸭山华丰</t>
  </si>
  <si>
    <t>黑化集团</t>
  </si>
  <si>
    <t>齐齐哈尔市</t>
  </si>
  <si>
    <t>Qiqihar</t>
  </si>
  <si>
    <t>省份</t>
  </si>
  <si>
    <t>产能（千吨/年）</t>
  </si>
  <si>
    <t>苏州市</t>
    <phoneticPr fontId="5" type="noConversion"/>
  </si>
  <si>
    <t>Suzhou</t>
    <phoneticPr fontId="5" type="noConversion"/>
  </si>
  <si>
    <t>吉林通化</t>
    <phoneticPr fontId="5" type="noConversion"/>
  </si>
  <si>
    <t>Province</t>
    <phoneticPr fontId="5" type="noConversion"/>
  </si>
  <si>
    <t>Ningxia</t>
  </si>
  <si>
    <t>Ningxia</t>
    <phoneticPr fontId="5" type="noConversion"/>
  </si>
  <si>
    <t>Inner Mongolia</t>
  </si>
  <si>
    <t>Shaanxi</t>
  </si>
  <si>
    <t>Shaanxi</t>
    <phoneticPr fontId="5" type="noConversion"/>
  </si>
  <si>
    <t>Anhui</t>
  </si>
  <si>
    <t>Anhui</t>
    <phoneticPr fontId="5" type="noConversion"/>
  </si>
  <si>
    <t>新疆维吾尔自治区</t>
    <phoneticPr fontId="5" type="noConversion"/>
  </si>
  <si>
    <t>Xinjiang</t>
  </si>
  <si>
    <t>Xinjiang</t>
    <phoneticPr fontId="5" type="noConversion"/>
  </si>
  <si>
    <t>Guangxi</t>
    <phoneticPr fontId="5" type="noConversion"/>
  </si>
  <si>
    <t>Shandong</t>
  </si>
  <si>
    <t>Shandong</t>
    <phoneticPr fontId="5" type="noConversion"/>
  </si>
  <si>
    <t>西宁市</t>
    <phoneticPr fontId="5" type="noConversion"/>
  </si>
  <si>
    <t>Xining</t>
    <phoneticPr fontId="5" type="noConversion"/>
  </si>
  <si>
    <t>Qinghai</t>
    <phoneticPr fontId="5" type="noConversion"/>
  </si>
  <si>
    <t>Hainan</t>
    <phoneticPr fontId="5" type="noConversion"/>
  </si>
  <si>
    <t>Shanghai</t>
    <phoneticPr fontId="5" type="noConversion"/>
  </si>
  <si>
    <t>陕西省</t>
    <phoneticPr fontId="5" type="noConversion"/>
  </si>
  <si>
    <t>Shanxi</t>
  </si>
  <si>
    <t>Shanxi</t>
    <phoneticPr fontId="5" type="noConversion"/>
  </si>
  <si>
    <t>Chongqing</t>
    <phoneticPr fontId="5" type="noConversion"/>
  </si>
  <si>
    <t>Heilongjiang</t>
  </si>
  <si>
    <t>Heilongjiang</t>
    <phoneticPr fontId="5" type="noConversion"/>
  </si>
  <si>
    <t>Henan</t>
  </si>
  <si>
    <t>Henan</t>
    <phoneticPr fontId="5" type="noConversion"/>
  </si>
  <si>
    <t>Gansu</t>
  </si>
  <si>
    <t>Gansu</t>
    <phoneticPr fontId="5" type="noConversion"/>
  </si>
  <si>
    <t>Jiangxi</t>
    <phoneticPr fontId="5" type="noConversion"/>
  </si>
  <si>
    <t>Tianjin</t>
    <phoneticPr fontId="5" type="noConversion"/>
  </si>
  <si>
    <t>Jiangsu</t>
  </si>
  <si>
    <t>Jiangsu</t>
    <phoneticPr fontId="5" type="noConversion"/>
  </si>
  <si>
    <t>Sichuan</t>
  </si>
  <si>
    <t>Sichuan</t>
    <phoneticPr fontId="5" type="noConversion"/>
  </si>
  <si>
    <t>Yunnan</t>
  </si>
  <si>
    <t>Yunnan</t>
    <phoneticPr fontId="5" type="noConversion"/>
  </si>
  <si>
    <t>Liaoning</t>
    <phoneticPr fontId="5" type="noConversion"/>
  </si>
  <si>
    <t>Hubei</t>
  </si>
  <si>
    <t>Hubei</t>
    <phoneticPr fontId="5" type="noConversion"/>
  </si>
  <si>
    <t>Zhejiang</t>
  </si>
  <si>
    <t>Zhejiang</t>
    <phoneticPr fontId="5" type="noConversion"/>
  </si>
  <si>
    <t>Hebei</t>
  </si>
  <si>
    <t>Hebei</t>
    <phoneticPr fontId="5" type="noConversion"/>
  </si>
  <si>
    <t>Guizhou</t>
  </si>
  <si>
    <t>Guizhou</t>
    <phoneticPr fontId="5" type="noConversion"/>
  </si>
  <si>
    <t>煤制甲醇</t>
    <phoneticPr fontId="7" type="noConversion"/>
  </si>
  <si>
    <t>Coal based</t>
    <phoneticPr fontId="7" type="noConversion"/>
  </si>
  <si>
    <t>Coke based</t>
  </si>
  <si>
    <t>Natural gas based</t>
  </si>
  <si>
    <t>Tailed gas based</t>
  </si>
  <si>
    <t>焦炉煤气甲醇</t>
    <phoneticPr fontId="7" type="noConversion"/>
  </si>
  <si>
    <t>天然气甲醇</t>
    <phoneticPr fontId="7" type="noConversion"/>
  </si>
  <si>
    <t>尾气制甲醇</t>
    <phoneticPr fontId="7" type="noConversion"/>
  </si>
  <si>
    <t>Northwest</t>
    <phoneticPr fontId="7" type="noConversion"/>
  </si>
  <si>
    <t>Location</t>
    <phoneticPr fontId="7" type="noConversion"/>
  </si>
  <si>
    <t>North</t>
    <phoneticPr fontId="7" type="noConversion"/>
  </si>
  <si>
    <t>East</t>
    <phoneticPr fontId="7" type="noConversion"/>
  </si>
  <si>
    <t>Southwest</t>
    <phoneticPr fontId="7" type="noConversion"/>
  </si>
  <si>
    <t>Centre</t>
    <phoneticPr fontId="7" type="noConversion"/>
  </si>
  <si>
    <t>South</t>
    <phoneticPr fontId="7" type="noConversion"/>
  </si>
  <si>
    <t>Northeast</t>
    <phoneticPr fontId="7" type="noConversion"/>
  </si>
  <si>
    <t>Capacity</t>
    <phoneticPr fontId="7" type="noConversion"/>
  </si>
  <si>
    <t>Percentage</t>
    <phoneticPr fontId="7" type="noConversion"/>
  </si>
  <si>
    <t>Province</t>
    <phoneticPr fontId="7" type="noConversion"/>
  </si>
  <si>
    <t>Shaanxi</t>
    <phoneticPr fontId="7" type="noConversion"/>
  </si>
  <si>
    <t>Ningxia</t>
    <phoneticPr fontId="7" type="noConversion"/>
  </si>
  <si>
    <t>Xinjiang</t>
    <phoneticPr fontId="7" type="noConversion"/>
  </si>
  <si>
    <t>Qinghai</t>
    <phoneticPr fontId="7" type="noConversion"/>
  </si>
  <si>
    <t>Gansu</t>
    <phoneticPr fontId="7" type="noConversion"/>
  </si>
  <si>
    <t>Inner Mongolia</t>
    <phoneticPr fontId="7" type="noConversion"/>
  </si>
  <si>
    <t>Shanxi</t>
    <phoneticPr fontId="7" type="noConversion"/>
  </si>
  <si>
    <t>Hebei</t>
    <phoneticPr fontId="7" type="noConversion"/>
  </si>
  <si>
    <t>Tianjin</t>
    <phoneticPr fontId="7" type="noConversion"/>
  </si>
  <si>
    <t>Shandong</t>
    <phoneticPr fontId="7" type="noConversion"/>
  </si>
  <si>
    <t>Anhui</t>
    <phoneticPr fontId="7" type="noConversion"/>
  </si>
  <si>
    <t>Jiangsu</t>
    <phoneticPr fontId="7" type="noConversion"/>
  </si>
  <si>
    <t>Shanghai</t>
    <phoneticPr fontId="7" type="noConversion"/>
  </si>
  <si>
    <t>Zhejiang</t>
    <phoneticPr fontId="7" type="noConversion"/>
  </si>
  <si>
    <t>Jiangxi</t>
    <phoneticPr fontId="7" type="noConversion"/>
  </si>
  <si>
    <t>Chongqing</t>
    <phoneticPr fontId="7" type="noConversion"/>
  </si>
  <si>
    <t>Sichuan</t>
    <phoneticPr fontId="7" type="noConversion"/>
  </si>
  <si>
    <t>Yunnan</t>
    <phoneticPr fontId="7" type="noConversion"/>
  </si>
  <si>
    <t>Guizhou</t>
    <phoneticPr fontId="7" type="noConversion"/>
  </si>
  <si>
    <t>Henan</t>
    <phoneticPr fontId="7" type="noConversion"/>
  </si>
  <si>
    <t>Hubei</t>
    <phoneticPr fontId="7" type="noConversion"/>
  </si>
  <si>
    <t>Guangxi</t>
    <phoneticPr fontId="7" type="noConversion"/>
  </si>
  <si>
    <t>Hainan</t>
    <phoneticPr fontId="7" type="noConversion"/>
  </si>
  <si>
    <t>Heilongjiang</t>
    <phoneticPr fontId="7" type="noConversion"/>
  </si>
  <si>
    <t>Liaoning</t>
    <phoneticPr fontId="7" type="noConversion"/>
  </si>
  <si>
    <t>Jilin</t>
    <phoneticPr fontId="7" type="noConversion"/>
  </si>
  <si>
    <t>Production capacity (kilo tonne/year)</t>
    <phoneticPr fontId="7" type="noConversion"/>
  </si>
  <si>
    <t>产能 （吨/日）</t>
    <phoneticPr fontId="5" type="noConversion"/>
  </si>
  <si>
    <t>Coal</t>
    <phoneticPr fontId="7" type="noConversion"/>
  </si>
  <si>
    <t>Coke</t>
    <phoneticPr fontId="7" type="noConversion"/>
  </si>
  <si>
    <t>Natural gas</t>
    <phoneticPr fontId="7" type="noConversion"/>
  </si>
  <si>
    <t>LCOM</t>
    <phoneticPr fontId="7" type="noConversion"/>
  </si>
  <si>
    <t>Ref</t>
    <phoneticPr fontId="7" type="noConversion"/>
  </si>
  <si>
    <t>Carbon Emission</t>
    <phoneticPr fontId="7" type="noConversion"/>
  </si>
  <si>
    <t>Energy usage</t>
    <phoneticPr fontId="7" type="noConversion"/>
  </si>
  <si>
    <t>2.2-4.3</t>
    <phoneticPr fontId="7" type="noConversion"/>
  </si>
  <si>
    <t>Zhao</t>
    <phoneticPr fontId="7" type="noConversion"/>
  </si>
  <si>
    <t>Arnaiz Del Pozo / Zhao</t>
    <phoneticPr fontId="7" type="noConversion"/>
  </si>
  <si>
    <t>327.04, 334.20, 394.63</t>
    <phoneticPr fontId="7" type="noConversion"/>
  </si>
  <si>
    <t>Zhao.</t>
    <phoneticPr fontId="7" type="noConversion"/>
  </si>
  <si>
    <t>coal usage</t>
    <phoneticPr fontId="7" type="noConversion"/>
  </si>
  <si>
    <t>Yi</t>
    <phoneticPr fontId="7" type="noConversion"/>
  </si>
  <si>
    <t>174-323</t>
    <phoneticPr fontId="7" type="noConversion"/>
  </si>
  <si>
    <t>Coke needs to be consdiered depending on the COG source (Yi</t>
    <phoneticPr fontId="7" type="noConversion"/>
  </si>
  <si>
    <t>YI /Portha</t>
    <phoneticPr fontId="7" type="noConversion"/>
  </si>
  <si>
    <t>1.95-2.20 (t/Coet)</t>
    <phoneticPr fontId="7" type="noConversion"/>
  </si>
  <si>
    <t>198-295</t>
    <phoneticPr fontId="7" type="noConversion"/>
  </si>
  <si>
    <t>Blumberg/ Arnaiz Del Pozo</t>
    <phoneticPr fontId="7" type="noConversion"/>
  </si>
  <si>
    <t>Methanol Institute</t>
    <phoneticPr fontId="7" type="noConversion"/>
  </si>
  <si>
    <t>ecoinvent</t>
  </si>
  <si>
    <t>8.05-10.28 (MWh/ton)</t>
    <phoneticPr fontId="7" type="noConversion"/>
  </si>
  <si>
    <t>11.62 (MWh/ton)</t>
    <phoneticPr fontId="7" type="noConversion"/>
  </si>
  <si>
    <t>7.806 (MWh/ton)</t>
    <phoneticPr fontId="7" type="noConversion"/>
  </si>
  <si>
    <t>Ebrahimzadeh Sarvestani / Nguyen</t>
    <phoneticPr fontId="7" type="noConversion"/>
  </si>
  <si>
    <t>City</t>
    <phoneticPr fontId="5" type="noConversion"/>
  </si>
  <si>
    <t>Company</t>
    <phoneticPr fontId="5" type="noConversion"/>
  </si>
  <si>
    <t>Capacity</t>
    <phoneticPr fontId="5" type="noConversion"/>
  </si>
  <si>
    <t>煤/焦炉气制甲醇</t>
    <phoneticPr fontId="5" type="noConversion"/>
  </si>
  <si>
    <t>Wuzhong</t>
    <phoneticPr fontId="5" type="noConversion"/>
  </si>
  <si>
    <t>Total annual capacity (kton/yr)</t>
    <phoneticPr fontId="5" type="noConversion"/>
  </si>
  <si>
    <t>Hourly capacity (ton/hr)</t>
    <phoneticPr fontId="5" type="noConversion"/>
  </si>
  <si>
    <t>工艺</t>
    <phoneticPr fontId="5" type="noConversion"/>
  </si>
  <si>
    <t>焦炉气/煤/天然气制甲醇</t>
    <phoneticPr fontId="5" type="noConversion"/>
  </si>
  <si>
    <t>安徽曙光</t>
    <phoneticPr fontId="7" type="noConversion"/>
  </si>
  <si>
    <t>Huaibei</t>
    <phoneticPr fontId="5" type="noConversion"/>
  </si>
  <si>
    <t>煤/天然气制甲醇</t>
    <phoneticPr fontId="5" type="noConversion"/>
  </si>
  <si>
    <t>Xining</t>
    <phoneticPr fontId="7" type="noConversion"/>
  </si>
  <si>
    <t>Jiujiang</t>
    <phoneticPr fontId="5" type="noConversion"/>
  </si>
  <si>
    <t>Suzhou</t>
    <phoneticPr fontId="7" type="noConversion"/>
  </si>
  <si>
    <t>焦炉气/天然气制甲醇</t>
    <phoneticPr fontId="5" type="noConversion"/>
  </si>
  <si>
    <t>Dalian</t>
    <phoneticPr fontId="5" type="noConversion"/>
  </si>
  <si>
    <t>Hengshui</t>
    <phoneticPr fontId="5" type="noConversion"/>
  </si>
  <si>
    <t>Jilin</t>
    <phoneticPr fontId="5" type="noConversion"/>
  </si>
  <si>
    <t>吉林通化</t>
    <phoneticPr fontId="7" type="noConversion"/>
  </si>
  <si>
    <t>Lons</t>
    <phoneticPr fontId="5" type="noConversion"/>
  </si>
  <si>
    <t>Lats</t>
    <phoneticPr fontId="5" type="noConversion"/>
  </si>
  <si>
    <t>新奥达旗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</si>
</sst>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 * #,##0_ ;_ * \-#,##0_ ;_ * &quot;-&quot;??_ ;_ @_ "/>
  </numFmts>
  <fonts count="12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rgb="FF333333"/>
      <name val="Arial"/>
      <family val="2"/>
    </font>
    <font>
      <sz val="11"/>
      <color theme="1"/>
      <name val="等线"/>
      <family val="3"/>
      <charset val="134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9" tint="0.7999816888943144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6" fontId="10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177" fontId="0" fillId="0" borderId="0" xfId="1" applyNumberFormat="1" applyFont="1" applyAlignment="1">
      <alignment horizontal="right"/>
    </xf>
    <xf numFmtId="177" fontId="0" fillId="0" borderId="0" xfId="1" applyNumberFormat="1" applyFont="1" applyAlignment="1">
      <alignment horizontal="right" vertical="center" wrapText="1"/>
    </xf>
    <xf numFmtId="0" fontId="6" fillId="2" borderId="0" xfId="0" applyFont="1" applyFill="1"/>
    <xf numFmtId="0" fontId="0" fillId="2" borderId="0" xfId="0" applyFill="1"/>
    <xf numFmtId="177" fontId="0" fillId="2" borderId="0" xfId="1" applyNumberFormat="1" applyFont="1" applyFill="1" applyAlignment="1">
      <alignment horizontal="right"/>
    </xf>
    <xf numFmtId="0" fontId="4" fillId="2" borderId="0" xfId="0" applyFont="1" applyFill="1"/>
    <xf numFmtId="177" fontId="0" fillId="2" borderId="0" xfId="1" applyNumberFormat="1" applyFont="1" applyFill="1" applyAlignment="1">
      <alignment horizontal="right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177" fontId="9" fillId="0" borderId="0" xfId="1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11" fillId="2" borderId="0" xfId="0" applyFont="1" applyFill="1"/>
    <xf numFmtId="0" fontId="8" fillId="2" borderId="0" xfId="0" applyFont="1" applyFill="1"/>
    <xf numFmtId="177" fontId="8" fillId="2" borderId="0" xfId="1" applyNumberFormat="1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77" fontId="0" fillId="0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177" fontId="8" fillId="0" borderId="0" xfId="1" applyNumberFormat="1" applyFont="1" applyFill="1" applyAlignment="1">
      <alignment horizontal="right"/>
    </xf>
    <xf numFmtId="0" fontId="6" fillId="0" borderId="3" xfId="0" applyFont="1" applyBorder="1"/>
    <xf numFmtId="0" fontId="0" fillId="0" borderId="4" xfId="0" applyBorder="1"/>
    <xf numFmtId="0" fontId="6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6" fillId="0" borderId="6" xfId="0" applyFont="1" applyBorder="1"/>
    <xf numFmtId="0" fontId="6" fillId="0" borderId="7" xfId="0" applyFont="1" applyBorder="1"/>
    <xf numFmtId="0" fontId="6" fillId="0" borderId="1" xfId="0" applyFont="1" applyBorder="1"/>
    <xf numFmtId="0" fontId="0" fillId="0" borderId="1" xfId="0" applyBorder="1"/>
    <xf numFmtId="0" fontId="0" fillId="0" borderId="8" xfId="0" applyBorder="1"/>
    <xf numFmtId="0" fontId="0" fillId="0" borderId="0" xfId="1" applyNumberFormat="1" applyFont="1" applyFill="1" applyBorder="1" applyAlignment="1">
      <alignment horizontal="right"/>
    </xf>
    <xf numFmtId="0" fontId="6" fillId="0" borderId="15" xfId="0" applyFont="1" applyBorder="1"/>
    <xf numFmtId="0" fontId="0" fillId="0" borderId="10" xfId="1" applyNumberFormat="1" applyFont="1" applyFill="1" applyBorder="1" applyAlignment="1">
      <alignment horizontal="right"/>
    </xf>
    <xf numFmtId="0" fontId="0" fillId="0" borderId="11" xfId="1" applyNumberFormat="1" applyFont="1" applyFill="1" applyBorder="1" applyAlignment="1">
      <alignment horizontal="right"/>
    </xf>
    <xf numFmtId="0" fontId="0" fillId="0" borderId="11" xfId="0" applyBorder="1"/>
    <xf numFmtId="0" fontId="0" fillId="0" borderId="16" xfId="0" applyBorder="1"/>
    <xf numFmtId="0" fontId="0" fillId="0" borderId="12" xfId="1" applyNumberFormat="1" applyFont="1" applyFill="1" applyBorder="1" applyAlignment="1">
      <alignment horizontal="right"/>
    </xf>
    <xf numFmtId="0" fontId="0" fillId="0" borderId="0" xfId="1" applyNumberFormat="1" applyFont="1" applyFill="1" applyBorder="1" applyAlignment="1">
      <alignment horizontal="right" vertical="center" wrapText="1"/>
    </xf>
    <xf numFmtId="0" fontId="6" fillId="0" borderId="16" xfId="0" applyFont="1" applyBorder="1"/>
    <xf numFmtId="0" fontId="0" fillId="0" borderId="12" xfId="0" applyBorder="1" applyAlignment="1">
      <alignment horizontal="right"/>
    </xf>
    <xf numFmtId="0" fontId="0" fillId="0" borderId="13" xfId="1" applyNumberFormat="1" applyFont="1" applyFill="1" applyBorder="1" applyAlignment="1">
      <alignment horizontal="right"/>
    </xf>
    <xf numFmtId="0" fontId="8" fillId="0" borderId="0" xfId="1" applyNumberFormat="1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0" fontId="6" fillId="0" borderId="17" xfId="0" applyFont="1" applyBorder="1"/>
    <xf numFmtId="0" fontId="6" fillId="0" borderId="14" xfId="0" applyFont="1" applyBorder="1" applyAlignment="1">
      <alignment horizontal="center"/>
    </xf>
    <xf numFmtId="0" fontId="0" fillId="0" borderId="9" xfId="0" applyBorder="1"/>
    <xf numFmtId="0" fontId="1" fillId="0" borderId="0" xfId="0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topLeftCell="B184" zoomScale="85" zoomScaleNormal="85" workbookViewId="0">
      <selection activeCell="C187" sqref="C187:F197"/>
    </sheetView>
  </sheetViews>
  <sheetFormatPr defaultColWidth="9" defaultRowHeight="13.8" x14ac:dyDescent="0.25"/>
  <cols>
    <col min="1" max="1" width="25.5546875" style="1" customWidth="1"/>
    <col min="2" max="2" width="26.21875" style="1" customWidth="1"/>
    <col min="3" max="3" width="22.109375" customWidth="1"/>
    <col min="4" max="5" width="20.44140625" style="1" customWidth="1"/>
    <col min="6" max="6" width="20.21875" customWidth="1"/>
    <col min="7" max="7" width="22" customWidth="1"/>
    <col min="9" max="9" width="37.109375" customWidth="1"/>
    <col min="10" max="10" width="30.88671875" customWidth="1"/>
  </cols>
  <sheetData>
    <row r="1" spans="1:10" x14ac:dyDescent="0.25">
      <c r="A1" s="2" t="s">
        <v>0</v>
      </c>
      <c r="B1" s="2" t="s">
        <v>1</v>
      </c>
      <c r="C1" s="9" t="s">
        <v>455</v>
      </c>
      <c r="D1" s="2" t="s">
        <v>2</v>
      </c>
      <c r="E1" s="14" t="s">
        <v>547</v>
      </c>
      <c r="F1" s="2" t="s">
        <v>4</v>
      </c>
      <c r="G1" s="2" t="s">
        <v>3</v>
      </c>
      <c r="I1" s="2" t="s">
        <v>5</v>
      </c>
      <c r="J1" s="2" t="s">
        <v>6</v>
      </c>
    </row>
    <row r="2" spans="1:10" x14ac:dyDescent="0.25">
      <c r="A2" s="1" t="s">
        <v>34</v>
      </c>
      <c r="B2" s="1" t="s">
        <v>35</v>
      </c>
      <c r="C2" s="9" t="s">
        <v>462</v>
      </c>
      <c r="D2" s="1">
        <v>1800</v>
      </c>
      <c r="E2" s="4">
        <f t="shared" ref="E2:E65" si="0">D2*1000/8500</f>
        <v>211.76470588235293</v>
      </c>
      <c r="F2" t="s">
        <v>37</v>
      </c>
      <c r="G2" t="s">
        <v>36</v>
      </c>
      <c r="I2">
        <v>116.879786</v>
      </c>
      <c r="J2">
        <v>32.694851</v>
      </c>
    </row>
    <row r="3" spans="1:10" x14ac:dyDescent="0.25">
      <c r="A3" s="1" t="s">
        <v>56</v>
      </c>
      <c r="B3" s="3" t="s">
        <v>35</v>
      </c>
      <c r="C3" t="s">
        <v>461</v>
      </c>
      <c r="D3" s="1">
        <v>1400</v>
      </c>
      <c r="E3" s="4">
        <f t="shared" si="0"/>
        <v>164.70588235294119</v>
      </c>
      <c r="F3" t="s">
        <v>58</v>
      </c>
      <c r="G3" s="6" t="s">
        <v>57</v>
      </c>
      <c r="I3">
        <v>115.86363299999999</v>
      </c>
      <c r="J3">
        <v>32.926949999999998</v>
      </c>
    </row>
    <row r="4" spans="1:10" x14ac:dyDescent="0.25">
      <c r="A4" s="1" t="s">
        <v>85</v>
      </c>
      <c r="B4" s="1" t="s">
        <v>35</v>
      </c>
      <c r="C4" t="s">
        <v>461</v>
      </c>
      <c r="D4" s="1">
        <v>900</v>
      </c>
      <c r="E4" s="4">
        <f t="shared" si="0"/>
        <v>105.88235294117646</v>
      </c>
      <c r="F4" t="s">
        <v>87</v>
      </c>
      <c r="G4" t="s">
        <v>86</v>
      </c>
      <c r="I4">
        <v>116.58695</v>
      </c>
      <c r="J4">
        <v>33.609698999999999</v>
      </c>
    </row>
    <row r="5" spans="1:10" x14ac:dyDescent="0.25">
      <c r="A5" s="1" t="s">
        <v>114</v>
      </c>
      <c r="B5" s="1" t="s">
        <v>35</v>
      </c>
      <c r="C5" t="s">
        <v>461</v>
      </c>
      <c r="D5" s="1">
        <v>600</v>
      </c>
      <c r="E5" s="4">
        <f t="shared" si="0"/>
        <v>70.588235294117652</v>
      </c>
      <c r="F5" t="s">
        <v>58</v>
      </c>
      <c r="G5" t="s">
        <v>57</v>
      </c>
      <c r="I5">
        <v>115.288157</v>
      </c>
      <c r="J5">
        <v>33.060924</v>
      </c>
    </row>
    <row r="6" spans="1:10" x14ac:dyDescent="0.25">
      <c r="A6" s="1" t="s">
        <v>162</v>
      </c>
      <c r="B6" s="1" t="s">
        <v>35</v>
      </c>
      <c r="C6" t="s">
        <v>461</v>
      </c>
      <c r="D6" s="1">
        <v>500</v>
      </c>
      <c r="E6" s="4">
        <f t="shared" si="0"/>
        <v>58.823529411764703</v>
      </c>
      <c r="F6" t="s">
        <v>164</v>
      </c>
      <c r="G6" t="s">
        <v>163</v>
      </c>
      <c r="I6">
        <v>118.330883</v>
      </c>
      <c r="J6">
        <v>31.369512</v>
      </c>
    </row>
    <row r="7" spans="1:10" x14ac:dyDescent="0.25">
      <c r="A7" s="1" t="s">
        <v>362</v>
      </c>
      <c r="B7" s="1" t="s">
        <v>35</v>
      </c>
      <c r="C7" t="s">
        <v>461</v>
      </c>
      <c r="D7" s="1">
        <v>160</v>
      </c>
      <c r="E7" s="4">
        <f t="shared" si="0"/>
        <v>18.823529411764707</v>
      </c>
      <c r="F7" t="s">
        <v>364</v>
      </c>
      <c r="G7" t="s">
        <v>363</v>
      </c>
      <c r="I7">
        <v>116.99749799999999</v>
      </c>
      <c r="J7">
        <v>30.539126</v>
      </c>
    </row>
    <row r="8" spans="1:10" x14ac:dyDescent="0.25">
      <c r="A8" s="1" t="s">
        <v>371</v>
      </c>
      <c r="B8" s="1" t="s">
        <v>35</v>
      </c>
      <c r="C8" t="s">
        <v>461</v>
      </c>
      <c r="D8" s="1">
        <v>150</v>
      </c>
      <c r="E8" s="4">
        <f t="shared" si="0"/>
        <v>17.647058823529413</v>
      </c>
      <c r="F8" t="s">
        <v>373</v>
      </c>
      <c r="G8" t="s">
        <v>372</v>
      </c>
      <c r="I8">
        <v>117.27879</v>
      </c>
      <c r="J8">
        <v>32.579821000000003</v>
      </c>
    </row>
    <row r="9" spans="1:10" x14ac:dyDescent="0.25">
      <c r="A9" s="1" t="s">
        <v>414</v>
      </c>
      <c r="B9" s="1" t="s">
        <v>35</v>
      </c>
      <c r="C9" t="s">
        <v>461</v>
      </c>
      <c r="D9" s="1">
        <v>100</v>
      </c>
      <c r="E9" s="4">
        <f t="shared" si="0"/>
        <v>11.764705882352942</v>
      </c>
      <c r="F9" t="s">
        <v>416</v>
      </c>
      <c r="G9" t="s">
        <v>415</v>
      </c>
      <c r="I9">
        <v>117.515131</v>
      </c>
      <c r="J9">
        <v>31.776990999999999</v>
      </c>
    </row>
    <row r="10" spans="1:10" x14ac:dyDescent="0.25">
      <c r="A10" s="1" t="s">
        <v>92</v>
      </c>
      <c r="B10" s="1" t="s">
        <v>93</v>
      </c>
      <c r="C10" s="9" t="s">
        <v>477</v>
      </c>
      <c r="D10" s="1">
        <v>870</v>
      </c>
      <c r="E10" s="4">
        <f t="shared" si="0"/>
        <v>102.35294117647059</v>
      </c>
      <c r="F10" t="s">
        <v>94</v>
      </c>
      <c r="G10" t="s">
        <v>93</v>
      </c>
      <c r="I10">
        <v>107.01438</v>
      </c>
      <c r="J10">
        <v>29.795963</v>
      </c>
    </row>
    <row r="11" spans="1:10" x14ac:dyDescent="0.25">
      <c r="A11" s="1" t="s">
        <v>95</v>
      </c>
      <c r="B11" s="1" t="s">
        <v>93</v>
      </c>
      <c r="C11" s="9" t="s">
        <v>477</v>
      </c>
      <c r="D11" s="1">
        <v>850</v>
      </c>
      <c r="E11" s="4">
        <f t="shared" si="0"/>
        <v>100</v>
      </c>
      <c r="F11" t="s">
        <v>94</v>
      </c>
      <c r="G11" t="s">
        <v>93</v>
      </c>
      <c r="I11">
        <v>107.04969</v>
      </c>
      <c r="J11">
        <v>29.819158999999999</v>
      </c>
    </row>
    <row r="12" spans="1:10" x14ac:dyDescent="0.25">
      <c r="A12" s="1" t="s">
        <v>195</v>
      </c>
      <c r="B12" s="1" t="s">
        <v>93</v>
      </c>
      <c r="C12" s="9" t="s">
        <v>477</v>
      </c>
      <c r="D12" s="1">
        <v>450</v>
      </c>
      <c r="E12" s="4">
        <f t="shared" si="0"/>
        <v>52.941176470588232</v>
      </c>
      <c r="F12" t="s">
        <v>94</v>
      </c>
      <c r="G12" t="s">
        <v>93</v>
      </c>
      <c r="I12">
        <v>106.988326</v>
      </c>
      <c r="J12">
        <v>29.81429</v>
      </c>
    </row>
    <row r="13" spans="1:10" x14ac:dyDescent="0.25">
      <c r="A13" s="1" t="s">
        <v>265</v>
      </c>
      <c r="B13" s="1" t="s">
        <v>93</v>
      </c>
      <c r="C13" s="9" t="s">
        <v>477</v>
      </c>
      <c r="D13" s="1">
        <v>300</v>
      </c>
      <c r="E13" s="4">
        <f t="shared" si="0"/>
        <v>35.294117647058826</v>
      </c>
      <c r="F13" t="s">
        <v>94</v>
      </c>
      <c r="G13" t="s">
        <v>93</v>
      </c>
      <c r="I13">
        <v>106.791579</v>
      </c>
      <c r="J13">
        <v>28.847339999999999</v>
      </c>
    </row>
    <row r="14" spans="1:10" x14ac:dyDescent="0.25">
      <c r="A14" s="1" t="s">
        <v>144</v>
      </c>
      <c r="B14" s="1" t="s">
        <v>145</v>
      </c>
      <c r="C14" s="9" t="s">
        <v>483</v>
      </c>
      <c r="D14" s="1">
        <v>600</v>
      </c>
      <c r="E14" s="4">
        <f t="shared" si="0"/>
        <v>70.588235294117652</v>
      </c>
      <c r="F14" t="s">
        <v>147</v>
      </c>
      <c r="G14" t="s">
        <v>146</v>
      </c>
      <c r="I14">
        <v>106.81073000000001</v>
      </c>
      <c r="J14">
        <v>35.255029999999998</v>
      </c>
    </row>
    <row r="15" spans="1:10" x14ac:dyDescent="0.25">
      <c r="A15" s="1" t="s">
        <v>346</v>
      </c>
      <c r="B15" s="1" t="s">
        <v>145</v>
      </c>
      <c r="C15" t="s">
        <v>482</v>
      </c>
      <c r="D15" s="1">
        <v>200</v>
      </c>
      <c r="E15" s="4">
        <f t="shared" si="0"/>
        <v>23.529411764705884</v>
      </c>
      <c r="F15" t="s">
        <v>348</v>
      </c>
      <c r="G15" t="s">
        <v>347</v>
      </c>
      <c r="I15">
        <v>103.464382</v>
      </c>
      <c r="J15">
        <v>36.167368000000003</v>
      </c>
    </row>
    <row r="16" spans="1:10" x14ac:dyDescent="0.25">
      <c r="A16" s="1" t="s">
        <v>428</v>
      </c>
      <c r="B16" s="1" t="s">
        <v>145</v>
      </c>
      <c r="C16" t="s">
        <v>482</v>
      </c>
      <c r="D16" s="1">
        <v>100</v>
      </c>
      <c r="E16" s="4">
        <f t="shared" si="0"/>
        <v>11.764705882352942</v>
      </c>
      <c r="F16" t="s">
        <v>430</v>
      </c>
      <c r="G16" t="s">
        <v>429</v>
      </c>
      <c r="I16">
        <v>103.29443000000001</v>
      </c>
      <c r="J16">
        <v>35.988855999999998</v>
      </c>
    </row>
    <row r="17" spans="1:10" x14ac:dyDescent="0.25">
      <c r="A17" s="1" t="s">
        <v>45</v>
      </c>
      <c r="B17" s="1" t="s">
        <v>46</v>
      </c>
      <c r="C17" s="9" t="s">
        <v>466</v>
      </c>
      <c r="D17" s="1">
        <v>1800</v>
      </c>
      <c r="E17" s="4">
        <f t="shared" si="0"/>
        <v>211.76470588235293</v>
      </c>
      <c r="F17" t="s">
        <v>48</v>
      </c>
      <c r="G17" t="s">
        <v>47</v>
      </c>
      <c r="I17">
        <v>108.613545</v>
      </c>
      <c r="J17">
        <v>21.718316999999999</v>
      </c>
    </row>
    <row r="18" spans="1:10" x14ac:dyDescent="0.25">
      <c r="A18" s="1" t="s">
        <v>266</v>
      </c>
      <c r="B18" s="1" t="s">
        <v>267</v>
      </c>
      <c r="C18" s="9" t="s">
        <v>500</v>
      </c>
      <c r="D18" s="1">
        <v>300</v>
      </c>
      <c r="E18" s="4">
        <f t="shared" si="0"/>
        <v>35.294117647058826</v>
      </c>
      <c r="F18" t="s">
        <v>269</v>
      </c>
      <c r="G18" t="s">
        <v>268</v>
      </c>
      <c r="I18">
        <v>106.92931900000001</v>
      </c>
      <c r="J18">
        <v>27.134869999999999</v>
      </c>
    </row>
    <row r="19" spans="1:10" x14ac:dyDescent="0.25">
      <c r="A19" s="1" t="s">
        <v>270</v>
      </c>
      <c r="B19" s="1" t="s">
        <v>267</v>
      </c>
      <c r="C19" t="s">
        <v>499</v>
      </c>
      <c r="D19" s="1">
        <v>300</v>
      </c>
      <c r="E19" s="4">
        <f t="shared" si="0"/>
        <v>35.294117647058826</v>
      </c>
      <c r="F19" t="s">
        <v>272</v>
      </c>
      <c r="G19" t="s">
        <v>271</v>
      </c>
      <c r="I19">
        <v>105.03825399999999</v>
      </c>
      <c r="J19">
        <v>26.546296999999999</v>
      </c>
    </row>
    <row r="20" spans="1:10" x14ac:dyDescent="0.25">
      <c r="A20" s="1" t="s">
        <v>285</v>
      </c>
      <c r="B20" s="1" t="s">
        <v>267</v>
      </c>
      <c r="C20" t="s">
        <v>499</v>
      </c>
      <c r="D20" s="1">
        <v>300</v>
      </c>
      <c r="E20" s="4">
        <f t="shared" si="0"/>
        <v>35.294117647058826</v>
      </c>
      <c r="F20" t="s">
        <v>287</v>
      </c>
      <c r="G20" t="s">
        <v>286</v>
      </c>
      <c r="I20">
        <v>106.77640100000001</v>
      </c>
      <c r="J20">
        <v>28.106912999999999</v>
      </c>
    </row>
    <row r="21" spans="1:10" x14ac:dyDescent="0.25">
      <c r="A21" s="1" t="s">
        <v>327</v>
      </c>
      <c r="B21" s="1" t="s">
        <v>267</v>
      </c>
      <c r="C21" t="s">
        <v>499</v>
      </c>
      <c r="D21" s="1">
        <v>200</v>
      </c>
      <c r="E21" s="4">
        <f t="shared" si="0"/>
        <v>23.529411764705884</v>
      </c>
      <c r="F21" t="s">
        <v>329</v>
      </c>
      <c r="G21" t="s">
        <v>328</v>
      </c>
      <c r="I21">
        <v>107.527867</v>
      </c>
      <c r="J21">
        <v>26.636021</v>
      </c>
    </row>
    <row r="22" spans="1:10" x14ac:dyDescent="0.25">
      <c r="A22" s="1" t="s">
        <v>330</v>
      </c>
      <c r="B22" s="1" t="s">
        <v>267</v>
      </c>
      <c r="C22" t="s">
        <v>499</v>
      </c>
      <c r="D22" s="1">
        <v>200</v>
      </c>
      <c r="E22" s="4">
        <f t="shared" si="0"/>
        <v>23.529411764705884</v>
      </c>
      <c r="F22" t="s">
        <v>332</v>
      </c>
      <c r="G22" t="s">
        <v>331</v>
      </c>
      <c r="I22">
        <v>105.332404</v>
      </c>
      <c r="J22">
        <v>27.334887999999999</v>
      </c>
    </row>
    <row r="23" spans="1:10" x14ac:dyDescent="0.25">
      <c r="A23" s="1" t="s">
        <v>63</v>
      </c>
      <c r="B23" s="1" t="s">
        <v>64</v>
      </c>
      <c r="C23" s="9" t="s">
        <v>472</v>
      </c>
      <c r="D23" s="1">
        <v>1400</v>
      </c>
      <c r="E23" s="4">
        <f t="shared" si="0"/>
        <v>164.70588235294119</v>
      </c>
      <c r="F23" t="s">
        <v>66</v>
      </c>
      <c r="G23" t="s">
        <v>65</v>
      </c>
      <c r="I23">
        <v>108.65495</v>
      </c>
      <c r="J23">
        <v>19.089673999999999</v>
      </c>
    </row>
    <row r="24" spans="1:10" x14ac:dyDescent="0.25">
      <c r="A24" s="1" t="s">
        <v>228</v>
      </c>
      <c r="B24" s="1" t="s">
        <v>229</v>
      </c>
      <c r="C24" s="9" t="s">
        <v>498</v>
      </c>
      <c r="D24" s="1">
        <v>390</v>
      </c>
      <c r="E24" s="4">
        <f t="shared" si="0"/>
        <v>45.882352941176471</v>
      </c>
      <c r="F24" t="s">
        <v>231</v>
      </c>
      <c r="G24" t="s">
        <v>230</v>
      </c>
      <c r="I24">
        <v>114.950682</v>
      </c>
      <c r="J24">
        <v>38.560183000000002</v>
      </c>
    </row>
    <row r="25" spans="1:10" x14ac:dyDescent="0.25">
      <c r="A25" s="1" t="s">
        <v>234</v>
      </c>
      <c r="B25" s="1" t="s">
        <v>229</v>
      </c>
      <c r="C25" t="s">
        <v>497</v>
      </c>
      <c r="D25" s="1">
        <v>300</v>
      </c>
      <c r="E25" s="4">
        <f t="shared" si="0"/>
        <v>35.294117647058826</v>
      </c>
      <c r="F25" t="s">
        <v>236</v>
      </c>
      <c r="G25" t="s">
        <v>235</v>
      </c>
      <c r="I25">
        <v>114.10662499999999</v>
      </c>
      <c r="J25">
        <v>36.550288000000002</v>
      </c>
    </row>
    <row r="26" spans="1:10" x14ac:dyDescent="0.25">
      <c r="A26" s="1" t="s">
        <v>302</v>
      </c>
      <c r="B26" s="1" t="s">
        <v>229</v>
      </c>
      <c r="C26" t="s">
        <v>497</v>
      </c>
      <c r="D26" s="1">
        <v>200</v>
      </c>
      <c r="E26" s="4">
        <f t="shared" si="0"/>
        <v>23.529411764705884</v>
      </c>
      <c r="F26" t="s">
        <v>304</v>
      </c>
      <c r="G26" t="s">
        <v>303</v>
      </c>
      <c r="I26">
        <v>119.04772800000001</v>
      </c>
      <c r="J26">
        <v>39.258068999999999</v>
      </c>
    </row>
    <row r="27" spans="1:10" x14ac:dyDescent="0.25">
      <c r="A27" s="1" t="s">
        <v>305</v>
      </c>
      <c r="B27" s="1" t="s">
        <v>229</v>
      </c>
      <c r="C27" t="s">
        <v>497</v>
      </c>
      <c r="D27" s="1">
        <v>200</v>
      </c>
      <c r="E27" s="4">
        <f t="shared" si="0"/>
        <v>23.529411764705884</v>
      </c>
      <c r="F27" t="s">
        <v>307</v>
      </c>
      <c r="G27" t="s">
        <v>306</v>
      </c>
      <c r="I27">
        <v>117.8043</v>
      </c>
      <c r="J27">
        <v>38.297932000000003</v>
      </c>
    </row>
    <row r="28" spans="1:10" x14ac:dyDescent="0.25">
      <c r="A28" s="1" t="s">
        <v>343</v>
      </c>
      <c r="B28" s="1" t="s">
        <v>229</v>
      </c>
      <c r="C28" t="s">
        <v>497</v>
      </c>
      <c r="D28" s="1">
        <v>200</v>
      </c>
      <c r="E28" s="4">
        <f t="shared" si="0"/>
        <v>23.529411764705884</v>
      </c>
      <c r="F28" t="s">
        <v>304</v>
      </c>
      <c r="G28" t="s">
        <v>303</v>
      </c>
      <c r="I28">
        <v>119.101333</v>
      </c>
      <c r="J28">
        <v>39.318255999999998</v>
      </c>
    </row>
    <row r="29" spans="1:10" x14ac:dyDescent="0.25">
      <c r="A29" s="1" t="s">
        <v>353</v>
      </c>
      <c r="B29" s="1" t="s">
        <v>229</v>
      </c>
      <c r="C29" t="s">
        <v>497</v>
      </c>
      <c r="D29" s="1">
        <v>200</v>
      </c>
      <c r="E29" s="4">
        <f t="shared" si="0"/>
        <v>23.529411764705884</v>
      </c>
      <c r="F29" t="s">
        <v>355</v>
      </c>
      <c r="G29" t="s">
        <v>354</v>
      </c>
      <c r="I29">
        <v>114.411081</v>
      </c>
      <c r="J29">
        <v>37.943997000000003</v>
      </c>
    </row>
    <row r="30" spans="1:10" x14ac:dyDescent="0.25">
      <c r="A30" s="1" t="s">
        <v>365</v>
      </c>
      <c r="B30" s="1" t="s">
        <v>229</v>
      </c>
      <c r="C30" t="s">
        <v>497</v>
      </c>
      <c r="D30" s="1">
        <v>150</v>
      </c>
      <c r="E30" s="4">
        <f t="shared" si="0"/>
        <v>17.647058823529413</v>
      </c>
      <c r="F30" t="s">
        <v>236</v>
      </c>
      <c r="G30" t="s">
        <v>235</v>
      </c>
      <c r="I30">
        <v>114.11573300000001</v>
      </c>
      <c r="J30">
        <v>36.596465999999999</v>
      </c>
    </row>
    <row r="31" spans="1:10" x14ac:dyDescent="0.25">
      <c r="A31" s="1" t="s">
        <v>389</v>
      </c>
      <c r="B31" s="1" t="s">
        <v>229</v>
      </c>
      <c r="C31" t="s">
        <v>497</v>
      </c>
      <c r="D31" s="1">
        <v>130</v>
      </c>
      <c r="E31" s="4">
        <f t="shared" si="0"/>
        <v>15.294117647058824</v>
      </c>
      <c r="F31" t="s">
        <v>304</v>
      </c>
      <c r="G31" t="s">
        <v>303</v>
      </c>
      <c r="I31">
        <v>117.644961</v>
      </c>
      <c r="J31">
        <v>39.872419999999998</v>
      </c>
    </row>
    <row r="32" spans="1:10" x14ac:dyDescent="0.25">
      <c r="A32" s="1" t="s">
        <v>398</v>
      </c>
      <c r="B32" s="1" t="s">
        <v>229</v>
      </c>
      <c r="C32" t="s">
        <v>497</v>
      </c>
      <c r="D32" s="1">
        <v>100</v>
      </c>
      <c r="E32" s="4">
        <f t="shared" si="0"/>
        <v>11.764705882352942</v>
      </c>
      <c r="F32" t="s">
        <v>399</v>
      </c>
      <c r="G32" t="s">
        <v>238</v>
      </c>
      <c r="I32">
        <v>115.816334</v>
      </c>
      <c r="J32">
        <v>37.803294000000001</v>
      </c>
    </row>
    <row r="33" spans="1:10" x14ac:dyDescent="0.25">
      <c r="A33" s="1" t="s">
        <v>400</v>
      </c>
      <c r="B33" s="1" t="s">
        <v>229</v>
      </c>
      <c r="C33" t="s">
        <v>497</v>
      </c>
      <c r="D33" s="1">
        <v>100</v>
      </c>
      <c r="E33" s="4">
        <f t="shared" si="0"/>
        <v>11.764705882352942</v>
      </c>
      <c r="F33" t="s">
        <v>307</v>
      </c>
      <c r="G33" t="s">
        <v>306</v>
      </c>
      <c r="I33">
        <v>117.65600499999999</v>
      </c>
      <c r="J33">
        <v>38.368481000000003</v>
      </c>
    </row>
    <row r="34" spans="1:10" x14ac:dyDescent="0.25">
      <c r="A34" s="1" t="s">
        <v>401</v>
      </c>
      <c r="B34" s="1" t="s">
        <v>229</v>
      </c>
      <c r="C34" t="s">
        <v>497</v>
      </c>
      <c r="D34" s="1">
        <v>100</v>
      </c>
      <c r="E34" s="4">
        <f t="shared" si="0"/>
        <v>11.764705882352942</v>
      </c>
      <c r="F34" t="s">
        <v>304</v>
      </c>
      <c r="G34" t="s">
        <v>303</v>
      </c>
      <c r="I34">
        <v>118.141699</v>
      </c>
      <c r="J34">
        <v>39.471919999999997</v>
      </c>
    </row>
    <row r="35" spans="1:10" x14ac:dyDescent="0.25">
      <c r="A35" s="1" t="s">
        <v>101</v>
      </c>
      <c r="B35" s="1" t="s">
        <v>102</v>
      </c>
      <c r="C35" s="9" t="s">
        <v>479</v>
      </c>
      <c r="D35" s="1">
        <v>700</v>
      </c>
      <c r="E35" s="4">
        <f t="shared" si="0"/>
        <v>82.352941176470594</v>
      </c>
      <c r="F35" t="s">
        <v>104</v>
      </c>
      <c r="G35" t="s">
        <v>103</v>
      </c>
      <c r="I35">
        <v>130.899066</v>
      </c>
      <c r="J35">
        <v>45.817689000000001</v>
      </c>
    </row>
    <row r="36" spans="1:10" x14ac:dyDescent="0.25">
      <c r="A36" s="1" t="s">
        <v>225</v>
      </c>
      <c r="B36" s="1" t="s">
        <v>102</v>
      </c>
      <c r="C36" t="s">
        <v>478</v>
      </c>
      <c r="D36" s="1">
        <v>390</v>
      </c>
      <c r="E36" s="4">
        <f t="shared" si="0"/>
        <v>45.882352941176471</v>
      </c>
      <c r="F36" t="s">
        <v>227</v>
      </c>
      <c r="G36" t="s">
        <v>226</v>
      </c>
      <c r="I36">
        <v>129.42220399999999</v>
      </c>
      <c r="J36">
        <v>46.192129000000001</v>
      </c>
    </row>
    <row r="37" spans="1:10" x14ac:dyDescent="0.25">
      <c r="A37" s="1" t="s">
        <v>350</v>
      </c>
      <c r="B37" s="1" t="s">
        <v>102</v>
      </c>
      <c r="C37" t="s">
        <v>478</v>
      </c>
      <c r="D37" s="1">
        <v>200</v>
      </c>
      <c r="E37" s="4">
        <f t="shared" si="0"/>
        <v>23.529411764705884</v>
      </c>
      <c r="F37" t="s">
        <v>352</v>
      </c>
      <c r="G37" t="s">
        <v>351</v>
      </c>
      <c r="I37">
        <v>124.826903</v>
      </c>
      <c r="J37">
        <v>46.581992</v>
      </c>
    </row>
    <row r="38" spans="1:10" x14ac:dyDescent="0.25">
      <c r="A38" s="1" t="s">
        <v>406</v>
      </c>
      <c r="B38" s="1" t="s">
        <v>102</v>
      </c>
      <c r="C38" t="s">
        <v>478</v>
      </c>
      <c r="D38" s="1">
        <v>100</v>
      </c>
      <c r="E38" s="4">
        <f t="shared" si="0"/>
        <v>11.764705882352942</v>
      </c>
      <c r="F38" t="s">
        <v>408</v>
      </c>
      <c r="G38" t="s">
        <v>407</v>
      </c>
      <c r="I38">
        <v>131.09517299999999</v>
      </c>
      <c r="J38">
        <v>46.607368999999998</v>
      </c>
    </row>
    <row r="39" spans="1:10" x14ac:dyDescent="0.25">
      <c r="A39" s="1" t="s">
        <v>409</v>
      </c>
      <c r="B39" s="1" t="s">
        <v>102</v>
      </c>
      <c r="C39" t="s">
        <v>478</v>
      </c>
      <c r="D39" s="1">
        <v>100</v>
      </c>
      <c r="E39" s="4">
        <f t="shared" si="0"/>
        <v>11.764705882352942</v>
      </c>
      <c r="F39" t="s">
        <v>104</v>
      </c>
      <c r="G39" t="s">
        <v>103</v>
      </c>
      <c r="I39">
        <v>130.89403300000001</v>
      </c>
      <c r="J39">
        <v>45.838192999999997</v>
      </c>
    </row>
    <row r="40" spans="1:10" x14ac:dyDescent="0.25">
      <c r="A40" s="1" t="s">
        <v>410</v>
      </c>
      <c r="B40" s="1" t="s">
        <v>102</v>
      </c>
      <c r="C40" t="s">
        <v>478</v>
      </c>
      <c r="D40" s="1">
        <v>100</v>
      </c>
      <c r="E40" s="4">
        <f t="shared" si="0"/>
        <v>11.764705882352942</v>
      </c>
      <c r="F40" t="s">
        <v>104</v>
      </c>
      <c r="G40" t="s">
        <v>103</v>
      </c>
      <c r="I40">
        <v>130.574645</v>
      </c>
      <c r="J40">
        <v>45.772064999999998</v>
      </c>
    </row>
    <row r="41" spans="1:10" x14ac:dyDescent="0.25">
      <c r="A41" s="1" t="s">
        <v>445</v>
      </c>
      <c r="B41" s="1" t="s">
        <v>102</v>
      </c>
      <c r="C41" t="s">
        <v>478</v>
      </c>
      <c r="D41" s="1">
        <v>80</v>
      </c>
      <c r="E41" s="4">
        <f t="shared" si="0"/>
        <v>9.4117647058823533</v>
      </c>
      <c r="F41" t="s">
        <v>104</v>
      </c>
      <c r="G41" t="s">
        <v>103</v>
      </c>
      <c r="I41">
        <v>131.219392</v>
      </c>
      <c r="J41">
        <v>45.800414000000004</v>
      </c>
    </row>
    <row r="42" spans="1:10" x14ac:dyDescent="0.25">
      <c r="A42" s="1" t="s">
        <v>446</v>
      </c>
      <c r="B42" s="1" t="s">
        <v>102</v>
      </c>
      <c r="C42" t="s">
        <v>478</v>
      </c>
      <c r="D42" s="1">
        <v>65</v>
      </c>
      <c r="E42" s="4">
        <f t="shared" si="0"/>
        <v>7.6470588235294121</v>
      </c>
      <c r="F42" t="s">
        <v>408</v>
      </c>
      <c r="G42" t="s">
        <v>407</v>
      </c>
      <c r="I42">
        <v>131.19527199999999</v>
      </c>
      <c r="J42">
        <v>46.805320999999999</v>
      </c>
    </row>
    <row r="43" spans="1:10" x14ac:dyDescent="0.25">
      <c r="A43" s="1" t="s">
        <v>447</v>
      </c>
      <c r="B43" s="1" t="s">
        <v>102</v>
      </c>
      <c r="C43" t="s">
        <v>478</v>
      </c>
      <c r="D43" s="1">
        <v>30</v>
      </c>
      <c r="E43" s="4">
        <f t="shared" si="0"/>
        <v>3.5294117647058822</v>
      </c>
      <c r="F43" t="s">
        <v>449</v>
      </c>
      <c r="G43" t="s">
        <v>448</v>
      </c>
      <c r="I43">
        <v>123.645251</v>
      </c>
      <c r="J43">
        <v>47.200626</v>
      </c>
    </row>
    <row r="44" spans="1:10" x14ac:dyDescent="0.25">
      <c r="A44" s="1" t="s">
        <v>121</v>
      </c>
      <c r="B44" s="1" t="s">
        <v>122</v>
      </c>
      <c r="C44" s="9" t="s">
        <v>481</v>
      </c>
      <c r="D44" s="1">
        <v>600</v>
      </c>
      <c r="E44" s="4">
        <f t="shared" si="0"/>
        <v>70.588235294117652</v>
      </c>
      <c r="F44" t="s">
        <v>124</v>
      </c>
      <c r="G44" t="s">
        <v>123</v>
      </c>
      <c r="I44">
        <v>113.85592800000001</v>
      </c>
      <c r="J44">
        <v>35.211511999999999</v>
      </c>
    </row>
    <row r="45" spans="1:10" x14ac:dyDescent="0.25">
      <c r="A45" s="1" t="s">
        <v>141</v>
      </c>
      <c r="B45" s="1" t="s">
        <v>122</v>
      </c>
      <c r="C45" t="s">
        <v>480</v>
      </c>
      <c r="D45" s="1">
        <v>600</v>
      </c>
      <c r="E45" s="4">
        <f t="shared" si="0"/>
        <v>70.588235294117652</v>
      </c>
      <c r="F45" t="s">
        <v>143</v>
      </c>
      <c r="G45" t="s">
        <v>142</v>
      </c>
      <c r="I45">
        <v>114.16030000000001</v>
      </c>
      <c r="J45">
        <v>35.876181000000003</v>
      </c>
    </row>
    <row r="46" spans="1:10" x14ac:dyDescent="0.25">
      <c r="A46" s="1" t="s">
        <v>176</v>
      </c>
      <c r="B46" s="1" t="s">
        <v>122</v>
      </c>
      <c r="C46" t="s">
        <v>480</v>
      </c>
      <c r="D46" s="1">
        <v>500</v>
      </c>
      <c r="E46" s="4">
        <f t="shared" si="0"/>
        <v>58.823529411764703</v>
      </c>
      <c r="F46" t="s">
        <v>178</v>
      </c>
      <c r="G46" t="s">
        <v>177</v>
      </c>
      <c r="I46">
        <v>115.00133099999999</v>
      </c>
      <c r="J46">
        <v>35.768039999999999</v>
      </c>
    </row>
    <row r="47" spans="1:10" x14ac:dyDescent="0.25">
      <c r="A47" s="1" t="s">
        <v>179</v>
      </c>
      <c r="B47" s="1" t="s">
        <v>122</v>
      </c>
      <c r="C47" t="s">
        <v>480</v>
      </c>
      <c r="D47" s="1">
        <v>500</v>
      </c>
      <c r="E47" s="4">
        <f t="shared" si="0"/>
        <v>58.823529411764703</v>
      </c>
      <c r="F47" t="s">
        <v>178</v>
      </c>
      <c r="G47" t="s">
        <v>177</v>
      </c>
      <c r="I47">
        <v>114.981286</v>
      </c>
      <c r="J47">
        <v>35.778740999999997</v>
      </c>
    </row>
    <row r="48" spans="1:10" x14ac:dyDescent="0.25">
      <c r="A48" s="1" t="s">
        <v>194</v>
      </c>
      <c r="B48" s="1" t="s">
        <v>122</v>
      </c>
      <c r="C48" t="s">
        <v>480</v>
      </c>
      <c r="D48" s="1">
        <v>450</v>
      </c>
      <c r="E48" s="4">
        <f t="shared" si="0"/>
        <v>52.941176470588232</v>
      </c>
      <c r="F48" t="s">
        <v>124</v>
      </c>
      <c r="G48" t="s">
        <v>123</v>
      </c>
      <c r="I48">
        <v>114.062102</v>
      </c>
      <c r="J48">
        <v>35.435378</v>
      </c>
    </row>
    <row r="49" spans="1:10" x14ac:dyDescent="0.25">
      <c r="A49" s="1" t="s">
        <v>233</v>
      </c>
      <c r="B49" s="1" t="s">
        <v>122</v>
      </c>
      <c r="C49" t="s">
        <v>480</v>
      </c>
      <c r="D49" s="1">
        <v>350</v>
      </c>
      <c r="E49" s="4">
        <f t="shared" si="0"/>
        <v>41.176470588235297</v>
      </c>
      <c r="F49" t="s">
        <v>124</v>
      </c>
      <c r="G49" t="s">
        <v>123</v>
      </c>
      <c r="I49">
        <v>113.64048699999999</v>
      </c>
      <c r="J49">
        <v>35.249392</v>
      </c>
    </row>
    <row r="50" spans="1:10" x14ac:dyDescent="0.25">
      <c r="A50" s="1" t="s">
        <v>259</v>
      </c>
      <c r="B50" s="1" t="s">
        <v>122</v>
      </c>
      <c r="C50" t="s">
        <v>480</v>
      </c>
      <c r="D50" s="1">
        <v>300</v>
      </c>
      <c r="E50" s="4">
        <f t="shared" si="0"/>
        <v>35.294117647058826</v>
      </c>
      <c r="F50" t="s">
        <v>261</v>
      </c>
      <c r="G50" t="s">
        <v>260</v>
      </c>
      <c r="I50">
        <v>111.96368099999999</v>
      </c>
      <c r="J50">
        <v>34.727761000000001</v>
      </c>
    </row>
    <row r="51" spans="1:10" x14ac:dyDescent="0.25">
      <c r="A51" s="1" t="s">
        <v>301</v>
      </c>
      <c r="B51" s="1" t="s">
        <v>122</v>
      </c>
      <c r="C51" t="s">
        <v>480</v>
      </c>
      <c r="D51" s="1">
        <v>240</v>
      </c>
      <c r="E51" s="4">
        <f t="shared" si="0"/>
        <v>28.235294117647058</v>
      </c>
      <c r="F51" t="s">
        <v>261</v>
      </c>
      <c r="G51" t="s">
        <v>260</v>
      </c>
      <c r="I51">
        <v>111.847556</v>
      </c>
      <c r="J51">
        <v>34.749872000000003</v>
      </c>
    </row>
    <row r="52" spans="1:10" x14ac:dyDescent="0.25">
      <c r="A52" s="1" t="s">
        <v>320</v>
      </c>
      <c r="B52" s="1" t="s">
        <v>122</v>
      </c>
      <c r="C52" t="s">
        <v>480</v>
      </c>
      <c r="D52" s="1">
        <v>200</v>
      </c>
      <c r="E52" s="4">
        <f t="shared" si="0"/>
        <v>23.529411764705884</v>
      </c>
      <c r="F52" t="s">
        <v>322</v>
      </c>
      <c r="G52" t="s">
        <v>321</v>
      </c>
      <c r="I52">
        <v>114.39515299999999</v>
      </c>
      <c r="J52">
        <v>36.158807000000003</v>
      </c>
    </row>
    <row r="53" spans="1:10" x14ac:dyDescent="0.25">
      <c r="A53" s="1" t="s">
        <v>323</v>
      </c>
      <c r="B53" s="1" t="s">
        <v>122</v>
      </c>
      <c r="C53" t="s">
        <v>480</v>
      </c>
      <c r="D53" s="1">
        <v>200</v>
      </c>
      <c r="E53" s="4">
        <f t="shared" si="0"/>
        <v>23.529411764705884</v>
      </c>
      <c r="F53" t="s">
        <v>178</v>
      </c>
      <c r="G53" t="s">
        <v>177</v>
      </c>
      <c r="I53">
        <v>114.981286</v>
      </c>
      <c r="J53">
        <v>35.778740999999997</v>
      </c>
    </row>
    <row r="54" spans="1:10" x14ac:dyDescent="0.25">
      <c r="A54" s="1" t="s">
        <v>324</v>
      </c>
      <c r="B54" s="1" t="s">
        <v>122</v>
      </c>
      <c r="C54" t="s">
        <v>480</v>
      </c>
      <c r="D54" s="1">
        <v>200</v>
      </c>
      <c r="E54" s="4">
        <f t="shared" si="0"/>
        <v>23.529411764705884</v>
      </c>
      <c r="F54" t="s">
        <v>326</v>
      </c>
      <c r="G54" t="s">
        <v>325</v>
      </c>
      <c r="I54">
        <v>114.02743100000001</v>
      </c>
      <c r="J54">
        <v>33.144247</v>
      </c>
    </row>
    <row r="55" spans="1:10" x14ac:dyDescent="0.25">
      <c r="A55" s="1" t="s">
        <v>344</v>
      </c>
      <c r="B55" s="1" t="s">
        <v>122</v>
      </c>
      <c r="C55" t="s">
        <v>480</v>
      </c>
      <c r="D55" s="1">
        <v>200</v>
      </c>
      <c r="E55" s="4">
        <f t="shared" si="0"/>
        <v>23.529411764705884</v>
      </c>
      <c r="F55" t="s">
        <v>143</v>
      </c>
      <c r="G55" t="s">
        <v>142</v>
      </c>
      <c r="I55">
        <v>114.195915</v>
      </c>
      <c r="J55">
        <v>35.873542999999998</v>
      </c>
    </row>
    <row r="56" spans="1:10" x14ac:dyDescent="0.25">
      <c r="A56" s="1" t="s">
        <v>397</v>
      </c>
      <c r="B56" s="1" t="s">
        <v>122</v>
      </c>
      <c r="C56" t="s">
        <v>480</v>
      </c>
      <c r="D56" s="1">
        <v>110</v>
      </c>
      <c r="E56" s="4">
        <f t="shared" si="0"/>
        <v>12.941176470588236</v>
      </c>
      <c r="F56" t="s">
        <v>322</v>
      </c>
      <c r="G56" t="s">
        <v>321</v>
      </c>
      <c r="I56">
        <v>114.065292</v>
      </c>
      <c r="J56">
        <v>36.221676000000002</v>
      </c>
    </row>
    <row r="57" spans="1:10" x14ac:dyDescent="0.25">
      <c r="A57" s="1" t="s">
        <v>420</v>
      </c>
      <c r="B57" s="1" t="s">
        <v>122</v>
      </c>
      <c r="C57" t="s">
        <v>480</v>
      </c>
      <c r="D57" s="1">
        <v>100</v>
      </c>
      <c r="E57" s="4">
        <f t="shared" si="0"/>
        <v>11.764705882352942</v>
      </c>
      <c r="F57" t="s">
        <v>422</v>
      </c>
      <c r="G57" t="s">
        <v>421</v>
      </c>
      <c r="I57">
        <v>112.918018</v>
      </c>
      <c r="J57">
        <v>33.906945</v>
      </c>
    </row>
    <row r="58" spans="1:10" x14ac:dyDescent="0.25">
      <c r="A58" s="1" t="s">
        <v>434</v>
      </c>
      <c r="B58" s="1" t="s">
        <v>122</v>
      </c>
      <c r="C58" t="s">
        <v>480</v>
      </c>
      <c r="D58" s="1">
        <v>100</v>
      </c>
      <c r="E58" s="4">
        <f t="shared" si="0"/>
        <v>11.764705882352942</v>
      </c>
      <c r="F58" t="s">
        <v>124</v>
      </c>
      <c r="G58" t="s">
        <v>123</v>
      </c>
      <c r="I58">
        <v>114.14370700000001</v>
      </c>
      <c r="J58">
        <v>35.291901000000003</v>
      </c>
    </row>
    <row r="59" spans="1:10" x14ac:dyDescent="0.25">
      <c r="A59" s="1" t="s">
        <v>187</v>
      </c>
      <c r="B59" s="1" t="s">
        <v>188</v>
      </c>
      <c r="C59" s="9" t="s">
        <v>494</v>
      </c>
      <c r="D59" s="1">
        <v>500</v>
      </c>
      <c r="E59" s="4">
        <f t="shared" si="0"/>
        <v>58.823529411764703</v>
      </c>
      <c r="F59" t="s">
        <v>190</v>
      </c>
      <c r="G59" t="s">
        <v>189</v>
      </c>
      <c r="I59">
        <v>112.27871500000001</v>
      </c>
      <c r="J59">
        <v>31.021599999999999</v>
      </c>
    </row>
    <row r="60" spans="1:10" x14ac:dyDescent="0.25">
      <c r="A60" s="1" t="s">
        <v>262</v>
      </c>
      <c r="B60" s="1" t="s">
        <v>188</v>
      </c>
      <c r="C60" t="s">
        <v>493</v>
      </c>
      <c r="D60" s="1">
        <v>300</v>
      </c>
      <c r="E60" s="4">
        <f t="shared" si="0"/>
        <v>35.294117647058826</v>
      </c>
      <c r="F60" t="s">
        <v>264</v>
      </c>
      <c r="G60" t="s">
        <v>263</v>
      </c>
      <c r="I60">
        <v>111.65289900000001</v>
      </c>
      <c r="J60">
        <v>30.376840999999999</v>
      </c>
    </row>
    <row r="61" spans="1:10" x14ac:dyDescent="0.25">
      <c r="A61" s="1" t="s">
        <v>298</v>
      </c>
      <c r="B61" s="1" t="s">
        <v>188</v>
      </c>
      <c r="C61" t="s">
        <v>493</v>
      </c>
      <c r="D61" s="1">
        <v>250</v>
      </c>
      <c r="E61" s="4">
        <f t="shared" si="0"/>
        <v>29.411764705882351</v>
      </c>
      <c r="F61" t="s">
        <v>264</v>
      </c>
      <c r="G61" t="s">
        <v>263</v>
      </c>
      <c r="I61">
        <v>111.838178</v>
      </c>
      <c r="J61">
        <v>30.831799</v>
      </c>
    </row>
    <row r="62" spans="1:10" x14ac:dyDescent="0.25">
      <c r="A62" s="3" t="s">
        <v>13</v>
      </c>
      <c r="B62" s="3" t="s">
        <v>14</v>
      </c>
      <c r="C62" t="s">
        <v>458</v>
      </c>
      <c r="D62" s="4">
        <v>3600</v>
      </c>
      <c r="E62" s="4">
        <f t="shared" si="0"/>
        <v>423.52941176470586</v>
      </c>
      <c r="F62" t="s">
        <v>16</v>
      </c>
      <c r="G62" t="s">
        <v>15</v>
      </c>
      <c r="I62">
        <v>109.49015300000001</v>
      </c>
      <c r="J62">
        <v>39.075071000000001</v>
      </c>
    </row>
    <row r="63" spans="1:10" x14ac:dyDescent="0.25">
      <c r="A63" s="3" t="s">
        <v>23</v>
      </c>
      <c r="B63" s="3" t="s">
        <v>14</v>
      </c>
      <c r="C63" t="s">
        <v>458</v>
      </c>
      <c r="D63" s="4">
        <v>3000</v>
      </c>
      <c r="E63" s="4">
        <f t="shared" si="0"/>
        <v>352.94117647058823</v>
      </c>
      <c r="F63" t="s">
        <v>25</v>
      </c>
      <c r="G63" t="s">
        <v>24</v>
      </c>
      <c r="I63">
        <v>111.322607</v>
      </c>
      <c r="J63">
        <v>40.194606999999998</v>
      </c>
    </row>
    <row r="64" spans="1:10" x14ac:dyDescent="0.25">
      <c r="A64" s="3" t="s">
        <v>26</v>
      </c>
      <c r="B64" s="3" t="s">
        <v>14</v>
      </c>
      <c r="C64" t="s">
        <v>458</v>
      </c>
      <c r="D64" s="4">
        <v>1800</v>
      </c>
      <c r="E64" s="4">
        <f t="shared" si="0"/>
        <v>211.76470588235293</v>
      </c>
      <c r="F64" t="s">
        <v>16</v>
      </c>
      <c r="G64" t="s">
        <v>15</v>
      </c>
      <c r="I64">
        <v>110.051835</v>
      </c>
      <c r="J64">
        <v>40.278911999999998</v>
      </c>
    </row>
    <row r="65" spans="1:10" x14ac:dyDescent="0.25">
      <c r="A65" s="1" t="s">
        <v>38</v>
      </c>
      <c r="B65" s="1" t="s">
        <v>14</v>
      </c>
      <c r="C65" t="s">
        <v>458</v>
      </c>
      <c r="D65" s="1">
        <v>1800</v>
      </c>
      <c r="E65" s="4">
        <f t="shared" si="0"/>
        <v>211.76470588235293</v>
      </c>
      <c r="F65" t="s">
        <v>40</v>
      </c>
      <c r="G65" t="s">
        <v>39</v>
      </c>
      <c r="I65">
        <v>109.868323</v>
      </c>
      <c r="J65">
        <v>40.599355000000003</v>
      </c>
    </row>
    <row r="66" spans="1:10" x14ac:dyDescent="0.25">
      <c r="A66" s="1" t="s">
        <v>53</v>
      </c>
      <c r="B66" s="1" t="s">
        <v>14</v>
      </c>
      <c r="C66" t="s">
        <v>458</v>
      </c>
      <c r="D66" s="1">
        <v>1680</v>
      </c>
      <c r="E66" s="4">
        <f t="shared" ref="E66:E129" si="1">D66*1000/8500</f>
        <v>197.64705882352942</v>
      </c>
      <c r="F66" t="s">
        <v>55</v>
      </c>
      <c r="G66" t="s">
        <v>54</v>
      </c>
      <c r="I66">
        <v>116.578604</v>
      </c>
      <c r="J66">
        <v>42.210448999999997</v>
      </c>
    </row>
    <row r="67" spans="1:10" x14ac:dyDescent="0.25">
      <c r="A67" s="1" t="s">
        <v>67</v>
      </c>
      <c r="B67" s="1" t="s">
        <v>14</v>
      </c>
      <c r="C67" t="s">
        <v>458</v>
      </c>
      <c r="D67" s="1">
        <v>1200</v>
      </c>
      <c r="E67" s="4">
        <f t="shared" si="1"/>
        <v>141.1764705882353</v>
      </c>
      <c r="F67" t="s">
        <v>16</v>
      </c>
      <c r="G67" t="s">
        <v>15</v>
      </c>
      <c r="I67">
        <v>110.088838</v>
      </c>
      <c r="J67">
        <v>40.327813999999996</v>
      </c>
    </row>
    <row r="68" spans="1:10" x14ac:dyDescent="0.25">
      <c r="A68" s="1" t="s">
        <v>72</v>
      </c>
      <c r="B68" s="1" t="s">
        <v>14</v>
      </c>
      <c r="C68" t="s">
        <v>458</v>
      </c>
      <c r="D68" s="1">
        <v>1000</v>
      </c>
      <c r="E68" s="4">
        <f t="shared" si="1"/>
        <v>117.64705882352941</v>
      </c>
      <c r="F68" t="s">
        <v>16</v>
      </c>
      <c r="G68" s="6" t="s">
        <v>15</v>
      </c>
      <c r="I68">
        <v>109.483678</v>
      </c>
      <c r="J68">
        <v>39.089699000000003</v>
      </c>
    </row>
    <row r="69" spans="1:10" x14ac:dyDescent="0.25">
      <c r="A69" s="1" t="s">
        <v>73</v>
      </c>
      <c r="B69" s="1" t="s">
        <v>14</v>
      </c>
      <c r="C69" t="s">
        <v>458</v>
      </c>
      <c r="D69" s="1">
        <v>1000</v>
      </c>
      <c r="E69" s="4">
        <f t="shared" si="1"/>
        <v>117.64705882352941</v>
      </c>
      <c r="F69" s="8" t="s">
        <v>75</v>
      </c>
      <c r="G69" t="s">
        <v>74</v>
      </c>
      <c r="I69">
        <v>113.762174</v>
      </c>
      <c r="J69">
        <v>40.875605</v>
      </c>
    </row>
    <row r="70" spans="1:10" x14ac:dyDescent="0.25">
      <c r="A70" s="1" t="s">
        <v>112</v>
      </c>
      <c r="B70" s="1" t="s">
        <v>14</v>
      </c>
      <c r="C70" t="s">
        <v>458</v>
      </c>
      <c r="D70" s="1">
        <v>600</v>
      </c>
      <c r="E70" s="4">
        <f t="shared" si="1"/>
        <v>70.588235294117652</v>
      </c>
      <c r="F70" t="s">
        <v>16</v>
      </c>
      <c r="G70" t="s">
        <v>15</v>
      </c>
      <c r="I70">
        <v>108.97861899999999</v>
      </c>
      <c r="J70">
        <v>38.085754000000001</v>
      </c>
    </row>
    <row r="71" spans="1:10" x14ac:dyDescent="0.25">
      <c r="A71" s="1" t="s">
        <v>113</v>
      </c>
      <c r="B71" s="1" t="s">
        <v>14</v>
      </c>
      <c r="C71" t="s">
        <v>458</v>
      </c>
      <c r="D71" s="1">
        <v>600</v>
      </c>
      <c r="E71" s="4">
        <f t="shared" si="1"/>
        <v>70.588235294117652</v>
      </c>
      <c r="F71" t="s">
        <v>16</v>
      </c>
      <c r="G71" t="s">
        <v>15</v>
      </c>
      <c r="I71">
        <v>110.8511</v>
      </c>
      <c r="J71">
        <v>39.705100000000002</v>
      </c>
    </row>
    <row r="72" spans="1:10" x14ac:dyDescent="0.25">
      <c r="A72" s="1" t="s">
        <v>153</v>
      </c>
      <c r="B72" s="1" t="s">
        <v>14</v>
      </c>
      <c r="C72" t="s">
        <v>458</v>
      </c>
      <c r="D72" s="1">
        <v>600</v>
      </c>
      <c r="E72" s="4">
        <f t="shared" si="1"/>
        <v>70.588235294117652</v>
      </c>
      <c r="F72" t="s">
        <v>155</v>
      </c>
      <c r="G72" t="s">
        <v>154</v>
      </c>
      <c r="I72">
        <v>107.005596</v>
      </c>
      <c r="J72">
        <v>39.198442</v>
      </c>
    </row>
    <row r="73" spans="1:10" x14ac:dyDescent="0.25">
      <c r="A73" s="1" t="s">
        <v>159</v>
      </c>
      <c r="B73" s="1" t="s">
        <v>14</v>
      </c>
      <c r="C73" t="s">
        <v>458</v>
      </c>
      <c r="D73" s="1">
        <v>500</v>
      </c>
      <c r="E73" s="4">
        <f t="shared" si="1"/>
        <v>58.823529411764703</v>
      </c>
      <c r="F73" t="s">
        <v>155</v>
      </c>
      <c r="G73" t="s">
        <v>154</v>
      </c>
      <c r="I73">
        <v>106.846559</v>
      </c>
      <c r="J73">
        <v>39.693243000000002</v>
      </c>
    </row>
    <row r="74" spans="1:10" x14ac:dyDescent="0.25">
      <c r="A74" s="1" t="s">
        <v>206</v>
      </c>
      <c r="B74" s="1" t="s">
        <v>14</v>
      </c>
      <c r="C74" t="s">
        <v>458</v>
      </c>
      <c r="D74" s="1">
        <v>400</v>
      </c>
      <c r="E74" s="4">
        <f t="shared" si="1"/>
        <v>47.058823529411768</v>
      </c>
      <c r="F74" t="s">
        <v>16</v>
      </c>
      <c r="G74" t="s">
        <v>15</v>
      </c>
      <c r="I74">
        <v>116.120344</v>
      </c>
      <c r="J74">
        <v>39.570244000000002</v>
      </c>
    </row>
    <row r="75" spans="1:10" x14ac:dyDescent="0.25">
      <c r="A75" s="1" t="s">
        <v>222</v>
      </c>
      <c r="B75" s="1" t="s">
        <v>14</v>
      </c>
      <c r="C75" t="s">
        <v>458</v>
      </c>
      <c r="D75" s="1">
        <v>400</v>
      </c>
      <c r="E75" s="4">
        <f t="shared" si="1"/>
        <v>47.058823529411768</v>
      </c>
      <c r="F75" t="s">
        <v>224</v>
      </c>
      <c r="G75" t="s">
        <v>223</v>
      </c>
      <c r="I75">
        <v>106.52777399999999</v>
      </c>
      <c r="J75">
        <v>39.535131</v>
      </c>
    </row>
    <row r="76" spans="1:10" x14ac:dyDescent="0.25">
      <c r="A76" s="1" t="s">
        <v>232</v>
      </c>
      <c r="B76" s="1" t="s">
        <v>14</v>
      </c>
      <c r="C76" t="s">
        <v>458</v>
      </c>
      <c r="D76" s="1">
        <v>350</v>
      </c>
      <c r="E76" s="4">
        <f t="shared" si="1"/>
        <v>41.176470588235297</v>
      </c>
      <c r="F76" t="s">
        <v>16</v>
      </c>
      <c r="G76" s="7" t="s">
        <v>15</v>
      </c>
      <c r="I76">
        <v>108.974473</v>
      </c>
      <c r="J76">
        <v>39.270619000000003</v>
      </c>
    </row>
    <row r="77" spans="1:10" x14ac:dyDescent="0.25">
      <c r="A77" s="1" t="s">
        <v>245</v>
      </c>
      <c r="B77" s="1" t="s">
        <v>14</v>
      </c>
      <c r="C77" t="s">
        <v>458</v>
      </c>
      <c r="D77" s="1">
        <v>300</v>
      </c>
      <c r="E77" s="4">
        <f t="shared" si="1"/>
        <v>35.294117647058826</v>
      </c>
      <c r="F77" t="s">
        <v>155</v>
      </c>
      <c r="G77" t="s">
        <v>154</v>
      </c>
      <c r="I77">
        <v>106.92631299999999</v>
      </c>
      <c r="J77">
        <v>39.395636000000003</v>
      </c>
    </row>
    <row r="78" spans="1:10" x14ac:dyDescent="0.25">
      <c r="A78" s="1" t="s">
        <v>246</v>
      </c>
      <c r="B78" s="1" t="s">
        <v>14</v>
      </c>
      <c r="C78" t="s">
        <v>458</v>
      </c>
      <c r="D78" s="1">
        <v>300</v>
      </c>
      <c r="E78" s="4">
        <f t="shared" si="1"/>
        <v>35.294117647058826</v>
      </c>
      <c r="F78" t="s">
        <v>248</v>
      </c>
      <c r="G78" t="s">
        <v>247</v>
      </c>
      <c r="I78">
        <v>106.78479299999999</v>
      </c>
      <c r="J78">
        <v>40.941141999999999</v>
      </c>
    </row>
    <row r="79" spans="1:10" x14ac:dyDescent="0.25">
      <c r="A79" s="1" t="s">
        <v>249</v>
      </c>
      <c r="B79" s="1" t="s">
        <v>14</v>
      </c>
      <c r="C79" t="s">
        <v>458</v>
      </c>
      <c r="D79" s="1">
        <v>300</v>
      </c>
      <c r="E79" s="4">
        <f t="shared" si="1"/>
        <v>35.294117647058826</v>
      </c>
      <c r="F79" s="5" t="s">
        <v>16</v>
      </c>
      <c r="G79" t="s">
        <v>15</v>
      </c>
      <c r="I79">
        <v>109.97804600000001</v>
      </c>
      <c r="J79">
        <v>39.827624999999998</v>
      </c>
    </row>
    <row r="80" spans="1:10" x14ac:dyDescent="0.25">
      <c r="A80" s="1" t="s">
        <v>250</v>
      </c>
      <c r="B80" s="1" t="s">
        <v>14</v>
      </c>
      <c r="C80" t="s">
        <v>458</v>
      </c>
      <c r="D80" s="1">
        <v>300</v>
      </c>
      <c r="E80" s="4">
        <f t="shared" si="1"/>
        <v>35.294117647058826</v>
      </c>
      <c r="F80" t="s">
        <v>16</v>
      </c>
      <c r="G80" t="s">
        <v>15</v>
      </c>
      <c r="I80">
        <v>116.44916000000001</v>
      </c>
      <c r="J80">
        <v>39.830311999999999</v>
      </c>
    </row>
    <row r="81" spans="1:10" x14ac:dyDescent="0.25">
      <c r="A81" s="1" t="s">
        <v>251</v>
      </c>
      <c r="B81" s="1" t="s">
        <v>14</v>
      </c>
      <c r="C81" t="s">
        <v>458</v>
      </c>
      <c r="D81" s="1">
        <v>300</v>
      </c>
      <c r="E81" s="4">
        <f t="shared" si="1"/>
        <v>35.294117647058826</v>
      </c>
      <c r="F81" t="s">
        <v>16</v>
      </c>
      <c r="G81" t="s">
        <v>15</v>
      </c>
      <c r="I81">
        <v>109.556442</v>
      </c>
      <c r="J81">
        <v>38.898094</v>
      </c>
    </row>
    <row r="82" spans="1:10" x14ac:dyDescent="0.25">
      <c r="A82" s="1" t="s">
        <v>252</v>
      </c>
      <c r="B82" s="1" t="s">
        <v>14</v>
      </c>
      <c r="C82" t="s">
        <v>458</v>
      </c>
      <c r="D82" s="1">
        <v>300</v>
      </c>
      <c r="E82" s="4">
        <f t="shared" si="1"/>
        <v>35.294117647058826</v>
      </c>
      <c r="F82" t="s">
        <v>224</v>
      </c>
      <c r="G82" t="s">
        <v>223</v>
      </c>
      <c r="I82">
        <v>106.723113</v>
      </c>
      <c r="J82">
        <v>39.420228000000002</v>
      </c>
    </row>
    <row r="83" spans="1:10" x14ac:dyDescent="0.25">
      <c r="A83" s="1" t="s">
        <v>253</v>
      </c>
      <c r="B83" s="1" t="s">
        <v>14</v>
      </c>
      <c r="C83" t="s">
        <v>458</v>
      </c>
      <c r="D83" s="1">
        <v>300</v>
      </c>
      <c r="E83" s="4">
        <f t="shared" si="1"/>
        <v>35.294117647058826</v>
      </c>
      <c r="F83" t="s">
        <v>155</v>
      </c>
      <c r="G83" t="s">
        <v>154</v>
      </c>
      <c r="I83">
        <v>106.694407</v>
      </c>
      <c r="J83">
        <v>39.462532000000003</v>
      </c>
    </row>
    <row r="84" spans="1:10" x14ac:dyDescent="0.25">
      <c r="A84" s="1" t="s">
        <v>280</v>
      </c>
      <c r="B84" s="1" t="s">
        <v>14</v>
      </c>
      <c r="C84" t="s">
        <v>458</v>
      </c>
      <c r="D84" s="1">
        <v>300</v>
      </c>
      <c r="E84" s="4">
        <f t="shared" si="1"/>
        <v>35.294117647058826</v>
      </c>
      <c r="F84" t="s">
        <v>16</v>
      </c>
      <c r="G84" t="s">
        <v>15</v>
      </c>
      <c r="I84">
        <v>109.24682799999999</v>
      </c>
      <c r="J84">
        <v>38.633344999999998</v>
      </c>
    </row>
    <row r="85" spans="1:10" x14ac:dyDescent="0.25">
      <c r="A85" s="1" t="s">
        <v>311</v>
      </c>
      <c r="B85" s="1" t="s">
        <v>14</v>
      </c>
      <c r="C85" t="s">
        <v>458</v>
      </c>
      <c r="D85" s="1">
        <v>200</v>
      </c>
      <c r="E85" s="4">
        <f t="shared" si="1"/>
        <v>23.529411764705884</v>
      </c>
      <c r="F85" t="s">
        <v>40</v>
      </c>
      <c r="G85" t="s">
        <v>39</v>
      </c>
      <c r="I85">
        <v>109.786332</v>
      </c>
      <c r="J85">
        <v>40.665022999999998</v>
      </c>
    </row>
    <row r="86" spans="1:10" x14ac:dyDescent="0.25">
      <c r="A86" s="1" t="s">
        <v>312</v>
      </c>
      <c r="B86" s="1" t="s">
        <v>14</v>
      </c>
      <c r="C86" t="s">
        <v>458</v>
      </c>
      <c r="D86" s="1">
        <v>200</v>
      </c>
      <c r="E86" s="4">
        <f t="shared" si="1"/>
        <v>23.529411764705884</v>
      </c>
      <c r="F86" t="s">
        <v>16</v>
      </c>
      <c r="G86" t="s">
        <v>15</v>
      </c>
      <c r="I86">
        <v>108.72977299999999</v>
      </c>
      <c r="J86">
        <v>40.509562000000003</v>
      </c>
    </row>
    <row r="87" spans="1:10" x14ac:dyDescent="0.25">
      <c r="A87" s="1" t="s">
        <v>313</v>
      </c>
      <c r="B87" s="1" t="s">
        <v>14</v>
      </c>
      <c r="C87" t="s">
        <v>458</v>
      </c>
      <c r="D87" s="1">
        <v>200</v>
      </c>
      <c r="E87" s="4">
        <f t="shared" si="1"/>
        <v>23.529411764705884</v>
      </c>
      <c r="F87" t="s">
        <v>16</v>
      </c>
      <c r="G87" t="s">
        <v>15</v>
      </c>
      <c r="I87">
        <v>110.867251</v>
      </c>
      <c r="J87">
        <v>39.710239999999999</v>
      </c>
    </row>
    <row r="88" spans="1:10" x14ac:dyDescent="0.25">
      <c r="A88" s="1" t="s">
        <v>345</v>
      </c>
      <c r="B88" s="1" t="s">
        <v>14</v>
      </c>
      <c r="C88" t="s">
        <v>458</v>
      </c>
      <c r="D88" s="1">
        <v>200</v>
      </c>
      <c r="E88" s="4">
        <f t="shared" si="1"/>
        <v>23.529411764705884</v>
      </c>
      <c r="F88" t="s">
        <v>25</v>
      </c>
      <c r="G88" t="s">
        <v>24</v>
      </c>
      <c r="I88">
        <v>111.755207</v>
      </c>
      <c r="J88">
        <v>40.745249999999999</v>
      </c>
    </row>
    <row r="89" spans="1:10" x14ac:dyDescent="0.25">
      <c r="A89" s="1" t="s">
        <v>357</v>
      </c>
      <c r="B89" s="1" t="s">
        <v>14</v>
      </c>
      <c r="C89" t="s">
        <v>458</v>
      </c>
      <c r="D89" s="1">
        <v>170</v>
      </c>
      <c r="E89" s="4">
        <f t="shared" si="1"/>
        <v>20</v>
      </c>
      <c r="F89" t="s">
        <v>75</v>
      </c>
      <c r="G89" t="s">
        <v>74</v>
      </c>
      <c r="I89">
        <v>113.269625</v>
      </c>
      <c r="J89">
        <v>40.791378000000002</v>
      </c>
    </row>
    <row r="90" spans="1:10" x14ac:dyDescent="0.25">
      <c r="A90" s="1" t="s">
        <v>368</v>
      </c>
      <c r="B90" s="1" t="s">
        <v>14</v>
      </c>
      <c r="C90" t="s">
        <v>458</v>
      </c>
      <c r="D90" s="1">
        <v>150</v>
      </c>
      <c r="E90" s="4">
        <f t="shared" si="1"/>
        <v>17.647058823529413</v>
      </c>
      <c r="F90" t="s">
        <v>370</v>
      </c>
      <c r="G90" t="s">
        <v>369</v>
      </c>
      <c r="I90">
        <v>116.777986</v>
      </c>
      <c r="J90">
        <v>43.068917999999996</v>
      </c>
    </row>
    <row r="91" spans="1:10" x14ac:dyDescent="0.25">
      <c r="A91" s="1" t="s">
        <v>390</v>
      </c>
      <c r="B91" s="1" t="s">
        <v>14</v>
      </c>
      <c r="C91" t="s">
        <v>458</v>
      </c>
      <c r="D91" s="1">
        <v>120</v>
      </c>
      <c r="E91" s="4">
        <f t="shared" si="1"/>
        <v>14.117647058823529</v>
      </c>
      <c r="F91" t="s">
        <v>392</v>
      </c>
      <c r="G91" t="s">
        <v>391</v>
      </c>
      <c r="I91">
        <v>108.567465</v>
      </c>
      <c r="J91">
        <v>41.301003000000001</v>
      </c>
    </row>
    <row r="92" spans="1:10" x14ac:dyDescent="0.25">
      <c r="A92" s="11" t="s">
        <v>396</v>
      </c>
      <c r="B92" s="1" t="s">
        <v>14</v>
      </c>
      <c r="C92" t="s">
        <v>458</v>
      </c>
      <c r="D92" s="1">
        <v>120</v>
      </c>
      <c r="E92" s="4">
        <f t="shared" si="1"/>
        <v>14.117647058823529</v>
      </c>
      <c r="F92" t="s">
        <v>16</v>
      </c>
      <c r="G92" t="s">
        <v>15</v>
      </c>
      <c r="I92">
        <v>106.98534600000001</v>
      </c>
      <c r="J92">
        <v>39.397686</v>
      </c>
    </row>
    <row r="93" spans="1:10" x14ac:dyDescent="0.25">
      <c r="A93" s="1" t="s">
        <v>405</v>
      </c>
      <c r="B93" s="1" t="s">
        <v>14</v>
      </c>
      <c r="C93" t="s">
        <v>458</v>
      </c>
      <c r="D93" s="1">
        <v>100</v>
      </c>
      <c r="E93" s="4">
        <f t="shared" si="1"/>
        <v>11.764705882352942</v>
      </c>
      <c r="F93" t="s">
        <v>16</v>
      </c>
      <c r="G93" t="s">
        <v>15</v>
      </c>
      <c r="I93">
        <v>106.820953</v>
      </c>
      <c r="J93">
        <v>39.848233</v>
      </c>
    </row>
    <row r="94" spans="1:10" x14ac:dyDescent="0.25">
      <c r="A94" s="1" t="s">
        <v>433</v>
      </c>
      <c r="B94" s="1" t="s">
        <v>14</v>
      </c>
      <c r="C94" t="s">
        <v>458</v>
      </c>
      <c r="D94" s="1">
        <v>100</v>
      </c>
      <c r="E94" s="4">
        <f t="shared" si="1"/>
        <v>11.764705882352942</v>
      </c>
      <c r="F94" t="s">
        <v>16</v>
      </c>
      <c r="G94" t="s">
        <v>15</v>
      </c>
      <c r="I94">
        <v>110.87329</v>
      </c>
      <c r="J94">
        <v>39.716436000000002</v>
      </c>
    </row>
    <row r="95" spans="1:10" x14ac:dyDescent="0.25">
      <c r="A95" s="1" t="s">
        <v>436</v>
      </c>
      <c r="B95" s="1" t="s">
        <v>14</v>
      </c>
      <c r="C95" t="s">
        <v>458</v>
      </c>
      <c r="D95" s="1">
        <v>100</v>
      </c>
      <c r="E95" s="4">
        <f t="shared" si="1"/>
        <v>11.764705882352942</v>
      </c>
      <c r="F95" s="5" t="s">
        <v>25</v>
      </c>
      <c r="G95" t="s">
        <v>24</v>
      </c>
      <c r="I95">
        <v>111.428642</v>
      </c>
      <c r="J95">
        <v>40.176515000000002</v>
      </c>
    </row>
    <row r="96" spans="1:10" x14ac:dyDescent="0.25">
      <c r="A96" s="1" t="s">
        <v>437</v>
      </c>
      <c r="B96" s="1" t="s">
        <v>14</v>
      </c>
      <c r="C96" t="s">
        <v>458</v>
      </c>
      <c r="D96" s="1">
        <v>100</v>
      </c>
      <c r="E96" s="4">
        <f t="shared" si="1"/>
        <v>11.764705882352942</v>
      </c>
      <c r="F96" t="s">
        <v>40</v>
      </c>
      <c r="G96" t="s">
        <v>39</v>
      </c>
      <c r="I96">
        <v>110.220348</v>
      </c>
      <c r="J96">
        <v>40.696339999999999</v>
      </c>
    </row>
    <row r="97" spans="1:10" x14ac:dyDescent="0.25">
      <c r="A97" s="1" t="s">
        <v>160</v>
      </c>
      <c r="B97" s="1" t="s">
        <v>161</v>
      </c>
      <c r="C97" s="9" t="s">
        <v>487</v>
      </c>
      <c r="D97" s="1">
        <v>500</v>
      </c>
      <c r="E97" s="4">
        <f t="shared" si="1"/>
        <v>58.823529411764703</v>
      </c>
      <c r="F97" s="9" t="s">
        <v>453</v>
      </c>
      <c r="G97" s="9" t="s">
        <v>452</v>
      </c>
      <c r="I97">
        <v>120.551007</v>
      </c>
      <c r="J97">
        <v>30.957346000000001</v>
      </c>
    </row>
    <row r="98" spans="1:10" x14ac:dyDescent="0.25">
      <c r="A98" s="1" t="s">
        <v>184</v>
      </c>
      <c r="B98" s="1" t="s">
        <v>161</v>
      </c>
      <c r="C98" t="s">
        <v>486</v>
      </c>
      <c r="D98" s="1">
        <v>500</v>
      </c>
      <c r="E98" s="4">
        <f t="shared" si="1"/>
        <v>58.823529411764703</v>
      </c>
      <c r="F98" t="s">
        <v>186</v>
      </c>
      <c r="G98" t="s">
        <v>185</v>
      </c>
      <c r="I98">
        <v>118.80493800000001</v>
      </c>
      <c r="J98">
        <v>32.283864999999999</v>
      </c>
    </row>
    <row r="99" spans="1:10" x14ac:dyDescent="0.25">
      <c r="A99" s="1" t="s">
        <v>255</v>
      </c>
      <c r="B99" s="1" t="s">
        <v>161</v>
      </c>
      <c r="C99" t="s">
        <v>486</v>
      </c>
      <c r="D99" s="1">
        <v>300</v>
      </c>
      <c r="E99" s="4">
        <f t="shared" si="1"/>
        <v>35.294117647058826</v>
      </c>
      <c r="F99" t="s">
        <v>257</v>
      </c>
      <c r="G99" t="s">
        <v>256</v>
      </c>
      <c r="I99">
        <v>117.97117799999999</v>
      </c>
      <c r="J99">
        <v>34.402777999999998</v>
      </c>
    </row>
    <row r="100" spans="1:10" x14ac:dyDescent="0.25">
      <c r="A100" s="1" t="s">
        <v>284</v>
      </c>
      <c r="B100" s="1" t="s">
        <v>161</v>
      </c>
      <c r="C100" t="s">
        <v>486</v>
      </c>
      <c r="D100" s="1">
        <v>300</v>
      </c>
      <c r="E100" s="4">
        <f t="shared" si="1"/>
        <v>35.294117647058826</v>
      </c>
      <c r="F100" t="s">
        <v>257</v>
      </c>
      <c r="G100" t="s">
        <v>256</v>
      </c>
      <c r="I100">
        <v>117.970972</v>
      </c>
      <c r="J100">
        <v>34.413086</v>
      </c>
    </row>
    <row r="101" spans="1:10" x14ac:dyDescent="0.25">
      <c r="A101" s="1" t="s">
        <v>411</v>
      </c>
      <c r="B101" s="1" t="s">
        <v>161</v>
      </c>
      <c r="C101" t="s">
        <v>486</v>
      </c>
      <c r="D101" s="1">
        <v>100</v>
      </c>
      <c r="E101" s="4">
        <f t="shared" si="1"/>
        <v>11.764705882352942</v>
      </c>
      <c r="F101" t="s">
        <v>413</v>
      </c>
      <c r="G101" t="s">
        <v>412</v>
      </c>
      <c r="I101">
        <v>119.45232300000001</v>
      </c>
      <c r="J101">
        <v>34.671337999999999</v>
      </c>
    </row>
    <row r="102" spans="1:10" x14ac:dyDescent="0.25">
      <c r="A102" s="1" t="s">
        <v>442</v>
      </c>
      <c r="B102" s="1" t="s">
        <v>161</v>
      </c>
      <c r="C102" t="s">
        <v>486</v>
      </c>
      <c r="D102" s="1">
        <v>80</v>
      </c>
      <c r="E102" s="4">
        <f t="shared" si="1"/>
        <v>9.4117647058823533</v>
      </c>
      <c r="F102" t="s">
        <v>444</v>
      </c>
      <c r="G102" t="s">
        <v>443</v>
      </c>
      <c r="I102">
        <v>120.510983</v>
      </c>
      <c r="J102">
        <v>31.972580000000001</v>
      </c>
    </row>
    <row r="103" spans="1:10" x14ac:dyDescent="0.25">
      <c r="A103" s="1" t="s">
        <v>148</v>
      </c>
      <c r="B103" s="1" t="s">
        <v>149</v>
      </c>
      <c r="C103" s="9" t="s">
        <v>484</v>
      </c>
      <c r="D103" s="1">
        <v>600</v>
      </c>
      <c r="E103" s="4">
        <f t="shared" si="1"/>
        <v>70.588235294117652</v>
      </c>
      <c r="F103" t="s">
        <v>151</v>
      </c>
      <c r="G103" t="s">
        <v>150</v>
      </c>
      <c r="I103">
        <v>116.586061</v>
      </c>
      <c r="J103">
        <v>29.937269000000001</v>
      </c>
    </row>
    <row r="104" spans="1:10" x14ac:dyDescent="0.25">
      <c r="A104" s="1" t="s">
        <v>180</v>
      </c>
      <c r="B104" s="1" t="s">
        <v>181</v>
      </c>
      <c r="C104" s="9" t="s">
        <v>492</v>
      </c>
      <c r="D104" s="1">
        <v>500</v>
      </c>
      <c r="E104" s="4">
        <f t="shared" si="1"/>
        <v>58.823529411764703</v>
      </c>
      <c r="F104" t="s">
        <v>183</v>
      </c>
      <c r="G104" t="s">
        <v>182</v>
      </c>
      <c r="I104">
        <v>121.262643</v>
      </c>
      <c r="J104">
        <v>39.565728999999997</v>
      </c>
    </row>
    <row r="105" spans="1:10" x14ac:dyDescent="0.25">
      <c r="A105" s="1" t="s">
        <v>254</v>
      </c>
      <c r="B105" s="1" t="s">
        <v>181</v>
      </c>
      <c r="C105" s="9" t="s">
        <v>492</v>
      </c>
      <c r="D105" s="1">
        <v>300</v>
      </c>
      <c r="E105" s="4">
        <f t="shared" si="1"/>
        <v>35.294117647058826</v>
      </c>
      <c r="F105" t="s">
        <v>183</v>
      </c>
      <c r="G105" t="s">
        <v>182</v>
      </c>
      <c r="I105">
        <v>121.856891</v>
      </c>
      <c r="J105">
        <v>38.96772</v>
      </c>
    </row>
    <row r="106" spans="1:10" x14ac:dyDescent="0.25">
      <c r="A106" s="3" t="s">
        <v>7</v>
      </c>
      <c r="B106" s="3" t="s">
        <v>8</v>
      </c>
      <c r="C106" s="9" t="s">
        <v>457</v>
      </c>
      <c r="D106" s="4">
        <v>6720</v>
      </c>
      <c r="E106" s="4">
        <f t="shared" si="1"/>
        <v>790.58823529411768</v>
      </c>
      <c r="F106" t="s">
        <v>10</v>
      </c>
      <c r="G106" t="s">
        <v>9</v>
      </c>
      <c r="I106">
        <v>106.557002</v>
      </c>
      <c r="J106">
        <v>38.233499999999999</v>
      </c>
    </row>
    <row r="107" spans="1:10" x14ac:dyDescent="0.25">
      <c r="A107" s="3" t="s">
        <v>21</v>
      </c>
      <c r="B107" s="3" t="s">
        <v>8</v>
      </c>
      <c r="C107" t="s">
        <v>456</v>
      </c>
      <c r="D107" s="4">
        <v>3520</v>
      </c>
      <c r="E107" s="4">
        <f t="shared" si="1"/>
        <v>414.11764705882354</v>
      </c>
      <c r="F107" t="s">
        <v>10</v>
      </c>
      <c r="G107" t="s">
        <v>22</v>
      </c>
      <c r="I107">
        <v>106.631818</v>
      </c>
      <c r="J107">
        <v>38.192028999999998</v>
      </c>
    </row>
    <row r="108" spans="1:10" x14ac:dyDescent="0.25">
      <c r="A108" s="1" t="s">
        <v>136</v>
      </c>
      <c r="B108" s="1" t="s">
        <v>8</v>
      </c>
      <c r="C108" t="s">
        <v>456</v>
      </c>
      <c r="D108" s="1">
        <v>600</v>
      </c>
      <c r="E108" s="4">
        <f t="shared" si="1"/>
        <v>70.588235294117652</v>
      </c>
      <c r="F108" t="s">
        <v>137</v>
      </c>
      <c r="G108" t="s">
        <v>9</v>
      </c>
      <c r="I108">
        <v>106.576284</v>
      </c>
      <c r="J108">
        <v>38.159309999999998</v>
      </c>
    </row>
    <row r="109" spans="1:10" x14ac:dyDescent="0.25">
      <c r="A109" s="1" t="s">
        <v>152</v>
      </c>
      <c r="B109" s="1" t="s">
        <v>8</v>
      </c>
      <c r="C109" t="s">
        <v>456</v>
      </c>
      <c r="D109" s="1">
        <v>600</v>
      </c>
      <c r="E109" s="4">
        <f t="shared" si="1"/>
        <v>70.588235294117652</v>
      </c>
      <c r="F109" t="s">
        <v>137</v>
      </c>
      <c r="G109" t="s">
        <v>22</v>
      </c>
      <c r="I109">
        <v>106.700923</v>
      </c>
      <c r="J109">
        <v>38.091786999999997</v>
      </c>
    </row>
    <row r="110" spans="1:10" x14ac:dyDescent="0.25">
      <c r="A110" s="1" t="s">
        <v>278</v>
      </c>
      <c r="B110" s="1" t="s">
        <v>8</v>
      </c>
      <c r="C110" t="s">
        <v>456</v>
      </c>
      <c r="D110" s="1">
        <v>300</v>
      </c>
      <c r="E110" s="4">
        <f t="shared" si="1"/>
        <v>35.294117647058826</v>
      </c>
      <c r="F110" t="s">
        <v>10</v>
      </c>
      <c r="G110" t="s">
        <v>9</v>
      </c>
      <c r="I110">
        <v>106.594697</v>
      </c>
      <c r="J110">
        <v>38.201155999999997</v>
      </c>
    </row>
    <row r="111" spans="1:10" x14ac:dyDescent="0.25">
      <c r="A111" s="1" t="s">
        <v>381</v>
      </c>
      <c r="B111" s="1" t="s">
        <v>8</v>
      </c>
      <c r="C111" t="s">
        <v>456</v>
      </c>
      <c r="D111" s="1">
        <v>150</v>
      </c>
      <c r="E111" s="4">
        <f t="shared" si="1"/>
        <v>17.647058823529413</v>
      </c>
      <c r="F111" t="s">
        <v>383</v>
      </c>
      <c r="G111" t="s">
        <v>382</v>
      </c>
      <c r="I111">
        <v>106.578969</v>
      </c>
      <c r="J111">
        <v>37.411445000000001</v>
      </c>
    </row>
    <row r="112" spans="1:10" x14ac:dyDescent="0.25">
      <c r="A112" s="1" t="s">
        <v>59</v>
      </c>
      <c r="B112" s="1" t="s">
        <v>60</v>
      </c>
      <c r="C112" s="9" t="s">
        <v>471</v>
      </c>
      <c r="D112" s="1">
        <v>1400</v>
      </c>
      <c r="E112" s="4">
        <f t="shared" si="1"/>
        <v>164.70588235294119</v>
      </c>
      <c r="F112" t="s">
        <v>62</v>
      </c>
      <c r="G112" t="s">
        <v>61</v>
      </c>
      <c r="I112">
        <v>95.250936999999993</v>
      </c>
      <c r="J112">
        <v>36.779234000000002</v>
      </c>
    </row>
    <row r="113" spans="1:10" x14ac:dyDescent="0.25">
      <c r="A113" s="1" t="s">
        <v>96</v>
      </c>
      <c r="B113" s="1" t="s">
        <v>60</v>
      </c>
      <c r="C113" t="s">
        <v>97</v>
      </c>
      <c r="D113" s="1">
        <v>800</v>
      </c>
      <c r="E113" s="4">
        <f t="shared" si="1"/>
        <v>94.117647058823536</v>
      </c>
      <c r="F113" s="9" t="s">
        <v>470</v>
      </c>
      <c r="G113" s="9" t="s">
        <v>469</v>
      </c>
      <c r="I113">
        <v>101.525115</v>
      </c>
      <c r="J113">
        <v>36.607078000000001</v>
      </c>
    </row>
    <row r="114" spans="1:10" x14ac:dyDescent="0.25">
      <c r="A114" s="1" t="s">
        <v>133</v>
      </c>
      <c r="B114" s="1" t="s">
        <v>60</v>
      </c>
      <c r="C114" t="s">
        <v>97</v>
      </c>
      <c r="D114" s="1">
        <v>600</v>
      </c>
      <c r="E114" s="4">
        <f t="shared" si="1"/>
        <v>70.588235294117652</v>
      </c>
      <c r="F114" t="s">
        <v>135</v>
      </c>
      <c r="G114" t="s">
        <v>134</v>
      </c>
      <c r="I114">
        <v>94.955521000000005</v>
      </c>
      <c r="J114">
        <v>36.369340000000001</v>
      </c>
    </row>
    <row r="115" spans="1:10" x14ac:dyDescent="0.25">
      <c r="A115" s="1" t="s">
        <v>199</v>
      </c>
      <c r="B115" s="1" t="s">
        <v>60</v>
      </c>
      <c r="C115" t="s">
        <v>97</v>
      </c>
      <c r="D115" s="1">
        <v>420</v>
      </c>
      <c r="E115" s="4">
        <f t="shared" si="1"/>
        <v>49.411764705882355</v>
      </c>
      <c r="F115" t="s">
        <v>135</v>
      </c>
      <c r="G115" t="s">
        <v>134</v>
      </c>
      <c r="I115">
        <v>95.220868999999993</v>
      </c>
      <c r="J115">
        <v>36.745685000000002</v>
      </c>
    </row>
    <row r="116" spans="1:10" x14ac:dyDescent="0.25">
      <c r="A116" s="3" t="s">
        <v>17</v>
      </c>
      <c r="B116" s="3" t="s">
        <v>18</v>
      </c>
      <c r="C116" s="9" t="s">
        <v>460</v>
      </c>
      <c r="D116" s="4">
        <v>3600</v>
      </c>
      <c r="E116" s="4">
        <f t="shared" si="1"/>
        <v>423.52941176470586</v>
      </c>
      <c r="F116" t="s">
        <v>20</v>
      </c>
      <c r="G116" t="s">
        <v>19</v>
      </c>
      <c r="I116">
        <v>108.926828</v>
      </c>
      <c r="J116">
        <v>37.648330000000001</v>
      </c>
    </row>
    <row r="117" spans="1:10" x14ac:dyDescent="0.25">
      <c r="A117" s="3" t="s">
        <v>27</v>
      </c>
      <c r="B117" s="3" t="s">
        <v>18</v>
      </c>
      <c r="C117" t="s">
        <v>459</v>
      </c>
      <c r="D117" s="4">
        <v>1800</v>
      </c>
      <c r="E117" s="4">
        <f t="shared" si="1"/>
        <v>211.76470588235293</v>
      </c>
      <c r="F117" t="s">
        <v>29</v>
      </c>
      <c r="G117" t="s">
        <v>28</v>
      </c>
      <c r="I117">
        <v>109.722082</v>
      </c>
      <c r="J117">
        <v>34.908427000000003</v>
      </c>
    </row>
    <row r="118" spans="1:10" x14ac:dyDescent="0.25">
      <c r="A118" s="3" t="s">
        <v>30</v>
      </c>
      <c r="B118" s="3" t="s">
        <v>18</v>
      </c>
      <c r="C118" t="s">
        <v>459</v>
      </c>
      <c r="D118" s="4">
        <v>1800</v>
      </c>
      <c r="E118" s="4">
        <f t="shared" si="1"/>
        <v>211.76470588235293</v>
      </c>
    </row>
    <row r="119" spans="1:10" x14ac:dyDescent="0.25">
      <c r="A119" s="3" t="s">
        <v>32</v>
      </c>
      <c r="B119" s="3" t="s">
        <v>18</v>
      </c>
      <c r="C119" t="s">
        <v>459</v>
      </c>
      <c r="D119" s="4">
        <v>1800</v>
      </c>
      <c r="E119" s="4">
        <f t="shared" si="1"/>
        <v>211.76470588235293</v>
      </c>
      <c r="F119" t="s">
        <v>20</v>
      </c>
      <c r="G119" t="s">
        <v>19</v>
      </c>
      <c r="I119">
        <v>109.749251</v>
      </c>
      <c r="J119">
        <v>38.235436</v>
      </c>
    </row>
    <row r="120" spans="1:10" x14ac:dyDescent="0.25">
      <c r="A120" s="1" t="s">
        <v>33</v>
      </c>
      <c r="B120" s="3" t="s">
        <v>18</v>
      </c>
      <c r="C120" t="s">
        <v>459</v>
      </c>
      <c r="D120" s="1">
        <v>1800</v>
      </c>
      <c r="E120" s="4">
        <f t="shared" si="1"/>
        <v>211.76470588235293</v>
      </c>
      <c r="F120" t="s">
        <v>20</v>
      </c>
      <c r="G120" t="s">
        <v>19</v>
      </c>
      <c r="I120">
        <v>109.53931300000001</v>
      </c>
      <c r="J120">
        <v>38.152078000000003</v>
      </c>
    </row>
    <row r="121" spans="1:10" x14ac:dyDescent="0.25">
      <c r="A121" s="1" t="s">
        <v>68</v>
      </c>
      <c r="B121" s="1" t="s">
        <v>18</v>
      </c>
      <c r="C121" t="s">
        <v>459</v>
      </c>
      <c r="D121" s="1">
        <v>1200</v>
      </c>
      <c r="E121" s="4">
        <f t="shared" si="1"/>
        <v>141.1764705882353</v>
      </c>
      <c r="F121" t="s">
        <v>20</v>
      </c>
      <c r="G121" s="7" t="s">
        <v>19</v>
      </c>
      <c r="I121">
        <v>109.488258</v>
      </c>
      <c r="J121">
        <v>38.222279999999998</v>
      </c>
    </row>
    <row r="122" spans="1:10" x14ac:dyDescent="0.25">
      <c r="A122" s="1" t="s">
        <v>105</v>
      </c>
      <c r="B122" s="10" t="s">
        <v>474</v>
      </c>
      <c r="C122" t="s">
        <v>459</v>
      </c>
      <c r="D122" s="1">
        <v>700</v>
      </c>
      <c r="E122" s="4">
        <f t="shared" si="1"/>
        <v>82.352941176470594</v>
      </c>
      <c r="F122" t="s">
        <v>20</v>
      </c>
      <c r="G122" t="s">
        <v>19</v>
      </c>
      <c r="I122">
        <v>109.608587</v>
      </c>
      <c r="J122">
        <v>38.147444999999998</v>
      </c>
    </row>
    <row r="123" spans="1:10" x14ac:dyDescent="0.25">
      <c r="A123" s="1" t="s">
        <v>125</v>
      </c>
      <c r="B123" s="1" t="s">
        <v>18</v>
      </c>
      <c r="C123" t="s">
        <v>459</v>
      </c>
      <c r="D123" s="1">
        <v>600</v>
      </c>
      <c r="E123" s="4">
        <f t="shared" si="1"/>
        <v>70.588235294117652</v>
      </c>
      <c r="F123" t="s">
        <v>20</v>
      </c>
      <c r="G123" t="s">
        <v>19</v>
      </c>
      <c r="I123">
        <v>110.178175</v>
      </c>
      <c r="J123">
        <v>38.745865000000002</v>
      </c>
    </row>
    <row r="124" spans="1:10" x14ac:dyDescent="0.25">
      <c r="A124" s="1" t="s">
        <v>126</v>
      </c>
      <c r="B124" s="1" t="s">
        <v>18</v>
      </c>
      <c r="C124" t="s">
        <v>459</v>
      </c>
      <c r="D124" s="1">
        <v>600</v>
      </c>
      <c r="E124" s="4">
        <f t="shared" si="1"/>
        <v>70.588235294117652</v>
      </c>
      <c r="F124" t="s">
        <v>128</v>
      </c>
      <c r="G124" t="s">
        <v>127</v>
      </c>
      <c r="I124">
        <v>107.274739</v>
      </c>
      <c r="J124">
        <v>34.460065</v>
      </c>
    </row>
    <row r="125" spans="1:10" x14ac:dyDescent="0.25">
      <c r="A125" s="1" t="s">
        <v>129</v>
      </c>
      <c r="B125" s="1" t="s">
        <v>18</v>
      </c>
      <c r="C125" t="s">
        <v>459</v>
      </c>
      <c r="D125" s="1">
        <v>600</v>
      </c>
      <c r="E125" s="4">
        <f t="shared" si="1"/>
        <v>70.588235294117652</v>
      </c>
      <c r="F125" t="s">
        <v>29</v>
      </c>
      <c r="G125" t="s">
        <v>28</v>
      </c>
      <c r="I125">
        <v>109.722219</v>
      </c>
      <c r="J125">
        <v>34.470492</v>
      </c>
    </row>
    <row r="126" spans="1:10" x14ac:dyDescent="0.25">
      <c r="A126" s="1" t="s">
        <v>130</v>
      </c>
      <c r="B126" s="1" t="s">
        <v>18</v>
      </c>
      <c r="C126" t="s">
        <v>459</v>
      </c>
      <c r="D126" s="1">
        <v>600</v>
      </c>
      <c r="E126" s="4">
        <f t="shared" si="1"/>
        <v>70.588235294117652</v>
      </c>
      <c r="F126" t="s">
        <v>132</v>
      </c>
      <c r="G126" t="s">
        <v>131</v>
      </c>
      <c r="I126">
        <v>107.76687200000001</v>
      </c>
      <c r="J126">
        <v>35.214495999999997</v>
      </c>
    </row>
    <row r="127" spans="1:10" x14ac:dyDescent="0.25">
      <c r="A127" s="1" t="s">
        <v>273</v>
      </c>
      <c r="B127" s="1" t="s">
        <v>18</v>
      </c>
      <c r="C127" t="s">
        <v>459</v>
      </c>
      <c r="D127" s="1">
        <v>300</v>
      </c>
      <c r="E127" s="4">
        <f t="shared" si="1"/>
        <v>35.294117647058826</v>
      </c>
      <c r="F127" t="s">
        <v>132</v>
      </c>
      <c r="G127" t="s">
        <v>131</v>
      </c>
      <c r="I127">
        <v>108.51497000000001</v>
      </c>
      <c r="J127">
        <v>34.284771999999997</v>
      </c>
    </row>
    <row r="128" spans="1:10" x14ac:dyDescent="0.25">
      <c r="A128" s="1" t="s">
        <v>274</v>
      </c>
      <c r="B128" s="1" t="s">
        <v>18</v>
      </c>
      <c r="C128" t="s">
        <v>459</v>
      </c>
      <c r="D128" s="1">
        <v>300</v>
      </c>
      <c r="E128" s="4">
        <f t="shared" si="1"/>
        <v>35.294117647058826</v>
      </c>
      <c r="F128" t="s">
        <v>276</v>
      </c>
      <c r="G128" t="s">
        <v>275</v>
      </c>
      <c r="I128">
        <v>109.066722</v>
      </c>
      <c r="J128">
        <v>35.621321999999999</v>
      </c>
    </row>
    <row r="129" spans="1:10" x14ac:dyDescent="0.25">
      <c r="A129" s="1" t="s">
        <v>277</v>
      </c>
      <c r="B129" s="1" t="s">
        <v>18</v>
      </c>
      <c r="C129" t="s">
        <v>459</v>
      </c>
      <c r="D129" s="1">
        <v>300</v>
      </c>
      <c r="E129" s="4">
        <f t="shared" si="1"/>
        <v>35.294117647058826</v>
      </c>
      <c r="F129" t="s">
        <v>20</v>
      </c>
      <c r="G129" t="s">
        <v>19</v>
      </c>
      <c r="I129">
        <v>109.595826</v>
      </c>
      <c r="J129">
        <v>38.152368000000003</v>
      </c>
    </row>
    <row r="130" spans="1:10" x14ac:dyDescent="0.25">
      <c r="A130" s="1" t="s">
        <v>292</v>
      </c>
      <c r="B130" s="1" t="s">
        <v>18</v>
      </c>
      <c r="C130" t="s">
        <v>459</v>
      </c>
      <c r="D130" s="1">
        <v>260</v>
      </c>
      <c r="E130" s="4">
        <f t="shared" ref="E130:E193" si="2">D130*1000/8500</f>
        <v>30.588235294117649</v>
      </c>
      <c r="F130" t="s">
        <v>20</v>
      </c>
      <c r="G130" t="s">
        <v>19</v>
      </c>
      <c r="I130">
        <v>110.209321</v>
      </c>
      <c r="J130">
        <v>38.726962999999998</v>
      </c>
    </row>
    <row r="131" spans="1:10" x14ac:dyDescent="0.25">
      <c r="A131" s="1" t="s">
        <v>333</v>
      </c>
      <c r="B131" s="1" t="s">
        <v>18</v>
      </c>
      <c r="C131" t="s">
        <v>459</v>
      </c>
      <c r="D131" s="1">
        <v>200</v>
      </c>
      <c r="E131" s="4">
        <f t="shared" si="2"/>
        <v>23.529411764705884</v>
      </c>
      <c r="F131" t="s">
        <v>276</v>
      </c>
      <c r="G131" t="s">
        <v>275</v>
      </c>
      <c r="I131">
        <v>109.00982999999999</v>
      </c>
      <c r="J131">
        <v>34.885829000000001</v>
      </c>
    </row>
    <row r="132" spans="1:10" x14ac:dyDescent="0.25">
      <c r="A132" s="1" t="s">
        <v>334</v>
      </c>
      <c r="B132" s="1" t="s">
        <v>18</v>
      </c>
      <c r="C132" t="s">
        <v>459</v>
      </c>
      <c r="D132" s="1">
        <v>200</v>
      </c>
      <c r="E132" s="4">
        <f t="shared" si="2"/>
        <v>23.529411764705884</v>
      </c>
      <c r="F132" t="s">
        <v>20</v>
      </c>
      <c r="G132" t="s">
        <v>19</v>
      </c>
      <c r="I132">
        <v>111.161473</v>
      </c>
      <c r="J132">
        <v>39.256475999999999</v>
      </c>
    </row>
    <row r="133" spans="1:10" x14ac:dyDescent="0.25">
      <c r="A133" s="1" t="s">
        <v>426</v>
      </c>
      <c r="B133" s="1" t="s">
        <v>18</v>
      </c>
      <c r="C133" t="s">
        <v>459</v>
      </c>
      <c r="D133" s="1">
        <v>100</v>
      </c>
      <c r="E133" s="4">
        <f t="shared" si="2"/>
        <v>11.764705882352942</v>
      </c>
      <c r="F133" t="s">
        <v>132</v>
      </c>
      <c r="G133" t="s">
        <v>131</v>
      </c>
      <c r="I133">
        <v>108.780108</v>
      </c>
      <c r="J133">
        <v>34.369028999999998</v>
      </c>
    </row>
    <row r="134" spans="1:10" x14ac:dyDescent="0.25">
      <c r="A134" s="1" t="s">
        <v>427</v>
      </c>
      <c r="B134" s="1" t="s">
        <v>18</v>
      </c>
      <c r="C134" t="s">
        <v>459</v>
      </c>
      <c r="D134" s="1">
        <v>100</v>
      </c>
      <c r="E134" s="4">
        <f t="shared" si="2"/>
        <v>11.764705882352942</v>
      </c>
      <c r="F134" t="s">
        <v>29</v>
      </c>
      <c r="G134" t="s">
        <v>28</v>
      </c>
      <c r="I134">
        <v>110.488249</v>
      </c>
      <c r="J134">
        <v>35.562545999999998</v>
      </c>
    </row>
    <row r="135" spans="1:10" x14ac:dyDescent="0.25">
      <c r="A135" s="1" t="s">
        <v>49</v>
      </c>
      <c r="B135" s="1" t="s">
        <v>50</v>
      </c>
      <c r="C135" s="9" t="s">
        <v>468</v>
      </c>
      <c r="D135" s="1">
        <v>1700</v>
      </c>
      <c r="E135" s="4">
        <f t="shared" si="2"/>
        <v>200</v>
      </c>
      <c r="F135" t="s">
        <v>52</v>
      </c>
      <c r="G135" t="s">
        <v>51</v>
      </c>
      <c r="I135">
        <v>116.23763700000001</v>
      </c>
      <c r="J135">
        <v>37.465586000000002</v>
      </c>
    </row>
    <row r="136" spans="1:10" x14ac:dyDescent="0.25">
      <c r="A136" s="1" t="s">
        <v>79</v>
      </c>
      <c r="B136" s="1" t="s">
        <v>50</v>
      </c>
      <c r="C136" s="9" t="s">
        <v>468</v>
      </c>
      <c r="D136" s="1">
        <v>950</v>
      </c>
      <c r="E136" s="4">
        <f t="shared" si="2"/>
        <v>111.76470588235294</v>
      </c>
      <c r="F136" t="s">
        <v>81</v>
      </c>
      <c r="G136" t="s">
        <v>80</v>
      </c>
      <c r="I136">
        <v>116.165527</v>
      </c>
      <c r="J136">
        <v>36.353907999999997</v>
      </c>
    </row>
    <row r="137" spans="1:10" x14ac:dyDescent="0.25">
      <c r="A137" s="1" t="s">
        <v>82</v>
      </c>
      <c r="B137" s="1" t="s">
        <v>50</v>
      </c>
      <c r="C137" s="9" t="s">
        <v>468</v>
      </c>
      <c r="D137" s="1">
        <v>920</v>
      </c>
      <c r="E137" s="4">
        <f t="shared" si="2"/>
        <v>108.23529411764706</v>
      </c>
      <c r="F137" t="s">
        <v>84</v>
      </c>
      <c r="G137" t="s">
        <v>83</v>
      </c>
      <c r="I137">
        <v>117.253787</v>
      </c>
      <c r="J137">
        <v>34.964663000000002</v>
      </c>
    </row>
    <row r="138" spans="1:10" x14ac:dyDescent="0.25">
      <c r="A138" s="1" t="s">
        <v>98</v>
      </c>
      <c r="B138" s="1" t="s">
        <v>50</v>
      </c>
      <c r="C138" s="9" t="s">
        <v>468</v>
      </c>
      <c r="D138" s="1">
        <v>750</v>
      </c>
      <c r="E138" s="4">
        <f t="shared" si="2"/>
        <v>88.235294117647058</v>
      </c>
      <c r="F138" t="s">
        <v>100</v>
      </c>
      <c r="G138" t="s">
        <v>99</v>
      </c>
      <c r="I138">
        <v>119.046847</v>
      </c>
      <c r="J138">
        <v>37.060554000000003</v>
      </c>
    </row>
    <row r="139" spans="1:10" x14ac:dyDescent="0.25">
      <c r="A139" s="1" t="s">
        <v>106</v>
      </c>
      <c r="B139" s="1" t="s">
        <v>50</v>
      </c>
      <c r="C139" s="9" t="s">
        <v>468</v>
      </c>
      <c r="D139" s="1">
        <v>670</v>
      </c>
      <c r="E139" s="4">
        <f t="shared" si="2"/>
        <v>78.82352941176471</v>
      </c>
      <c r="F139" t="s">
        <v>108</v>
      </c>
      <c r="G139" t="s">
        <v>107</v>
      </c>
      <c r="I139">
        <v>116.94595099999999</v>
      </c>
      <c r="J139">
        <v>35.450712000000003</v>
      </c>
    </row>
    <row r="140" spans="1:10" x14ac:dyDescent="0.25">
      <c r="A140" s="1" t="s">
        <v>115</v>
      </c>
      <c r="B140" s="1" t="s">
        <v>50</v>
      </c>
      <c r="C140" s="9" t="s">
        <v>468</v>
      </c>
      <c r="D140" s="1">
        <v>600</v>
      </c>
      <c r="E140" s="4">
        <f t="shared" si="2"/>
        <v>70.588235294117652</v>
      </c>
      <c r="F140" t="s">
        <v>117</v>
      </c>
      <c r="G140" t="s">
        <v>116</v>
      </c>
      <c r="I140">
        <v>121.086991</v>
      </c>
      <c r="J140">
        <v>37.582729999999998</v>
      </c>
    </row>
    <row r="141" spans="1:10" x14ac:dyDescent="0.25">
      <c r="A141" s="1" t="s">
        <v>118</v>
      </c>
      <c r="B141" s="1" t="s">
        <v>50</v>
      </c>
      <c r="C141" s="9" t="s">
        <v>468</v>
      </c>
      <c r="D141" s="1">
        <v>600</v>
      </c>
      <c r="E141" s="4">
        <f t="shared" si="2"/>
        <v>70.588235294117652</v>
      </c>
      <c r="F141" t="s">
        <v>120</v>
      </c>
      <c r="G141" t="s">
        <v>119</v>
      </c>
      <c r="I141">
        <v>117.473403</v>
      </c>
      <c r="J141">
        <v>36.892052</v>
      </c>
    </row>
    <row r="142" spans="1:10" x14ac:dyDescent="0.25">
      <c r="A142" s="1" t="s">
        <v>258</v>
      </c>
      <c r="B142" s="1" t="s">
        <v>50</v>
      </c>
      <c r="C142" s="9" t="s">
        <v>468</v>
      </c>
      <c r="D142" s="1">
        <v>300</v>
      </c>
      <c r="E142" s="4">
        <f t="shared" si="2"/>
        <v>35.294117647058826</v>
      </c>
      <c r="F142" t="s">
        <v>84</v>
      </c>
      <c r="G142" t="s">
        <v>83</v>
      </c>
      <c r="I142">
        <v>117.291465</v>
      </c>
      <c r="J142">
        <v>34.983246000000001</v>
      </c>
    </row>
    <row r="143" spans="1:10" x14ac:dyDescent="0.25">
      <c r="A143" s="1" t="s">
        <v>293</v>
      </c>
      <c r="B143" s="1" t="s">
        <v>50</v>
      </c>
      <c r="C143" s="9" t="s">
        <v>468</v>
      </c>
      <c r="D143" s="1">
        <v>250</v>
      </c>
      <c r="E143" s="4">
        <f t="shared" si="2"/>
        <v>29.411764705882351</v>
      </c>
      <c r="F143" t="s">
        <v>84</v>
      </c>
      <c r="G143" t="s">
        <v>83</v>
      </c>
      <c r="I143">
        <v>117.03446700000001</v>
      </c>
      <c r="J143">
        <v>34.968913999999998</v>
      </c>
    </row>
    <row r="144" spans="1:10" x14ac:dyDescent="0.25">
      <c r="A144" s="1" t="s">
        <v>294</v>
      </c>
      <c r="B144" s="1" t="s">
        <v>50</v>
      </c>
      <c r="C144" s="9" t="s">
        <v>468</v>
      </c>
      <c r="D144" s="1">
        <v>250</v>
      </c>
      <c r="E144" s="4">
        <f t="shared" si="2"/>
        <v>29.411764705882351</v>
      </c>
      <c r="F144" t="s">
        <v>108</v>
      </c>
      <c r="G144" t="s">
        <v>107</v>
      </c>
      <c r="I144">
        <v>116.82574099999999</v>
      </c>
      <c r="J144">
        <v>35.33464</v>
      </c>
    </row>
    <row r="145" spans="1:10" x14ac:dyDescent="0.25">
      <c r="A145" s="1" t="s">
        <v>295</v>
      </c>
      <c r="B145" s="1" t="s">
        <v>50</v>
      </c>
      <c r="C145" s="9" t="s">
        <v>468</v>
      </c>
      <c r="D145" s="1">
        <v>250</v>
      </c>
      <c r="E145" s="4">
        <f t="shared" si="2"/>
        <v>29.411764705882351</v>
      </c>
      <c r="F145" t="s">
        <v>297</v>
      </c>
      <c r="G145" t="s">
        <v>296</v>
      </c>
      <c r="I145">
        <v>117.30355299999999</v>
      </c>
      <c r="J145">
        <v>35.851039999999998</v>
      </c>
    </row>
    <row r="146" spans="1:10" x14ac:dyDescent="0.25">
      <c r="A146" s="1" t="s">
        <v>314</v>
      </c>
      <c r="B146" s="1" t="s">
        <v>50</v>
      </c>
      <c r="C146" s="9" t="s">
        <v>468</v>
      </c>
      <c r="D146" s="1">
        <v>200</v>
      </c>
      <c r="E146" s="4">
        <f t="shared" si="2"/>
        <v>23.529411764705884</v>
      </c>
      <c r="F146" t="s">
        <v>316</v>
      </c>
      <c r="G146" t="s">
        <v>315</v>
      </c>
      <c r="I146">
        <v>118.32979400000001</v>
      </c>
      <c r="J146">
        <v>34.632617000000003</v>
      </c>
    </row>
    <row r="147" spans="1:10" x14ac:dyDescent="0.25">
      <c r="A147" s="1" t="s">
        <v>317</v>
      </c>
      <c r="B147" s="1" t="s">
        <v>50</v>
      </c>
      <c r="C147" s="9" t="s">
        <v>468</v>
      </c>
      <c r="D147" s="1">
        <v>200</v>
      </c>
      <c r="E147" s="4">
        <f t="shared" si="2"/>
        <v>23.529411764705884</v>
      </c>
      <c r="F147" t="s">
        <v>108</v>
      </c>
      <c r="G147" t="s">
        <v>107</v>
      </c>
      <c r="I147">
        <v>116.761087</v>
      </c>
      <c r="J147">
        <v>35.503711000000003</v>
      </c>
    </row>
    <row r="148" spans="1:10" x14ac:dyDescent="0.25">
      <c r="A148" s="1" t="s">
        <v>318</v>
      </c>
      <c r="B148" s="1" t="s">
        <v>50</v>
      </c>
      <c r="C148" s="9" t="s">
        <v>468</v>
      </c>
      <c r="D148" s="1">
        <v>200</v>
      </c>
      <c r="E148" s="4">
        <f t="shared" si="2"/>
        <v>23.529411764705884</v>
      </c>
      <c r="F148" t="s">
        <v>205</v>
      </c>
      <c r="G148" t="s">
        <v>204</v>
      </c>
      <c r="I148">
        <v>111.342348</v>
      </c>
      <c r="J148">
        <v>35.906616999999997</v>
      </c>
    </row>
    <row r="149" spans="1:10" x14ac:dyDescent="0.25">
      <c r="A149" s="1" t="s">
        <v>319</v>
      </c>
      <c r="B149" s="1" t="s">
        <v>50</v>
      </c>
      <c r="C149" s="9" t="s">
        <v>468</v>
      </c>
      <c r="D149" s="1">
        <v>200</v>
      </c>
      <c r="E149" s="4">
        <f t="shared" si="2"/>
        <v>23.529411764705884</v>
      </c>
      <c r="F149" t="s">
        <v>52</v>
      </c>
      <c r="G149" t="s">
        <v>51</v>
      </c>
      <c r="I149">
        <v>116.45261000000001</v>
      </c>
      <c r="J149">
        <v>37.186729</v>
      </c>
    </row>
    <row r="150" spans="1:10" x14ac:dyDescent="0.25">
      <c r="A150" s="1" t="s">
        <v>374</v>
      </c>
      <c r="B150" s="1" t="s">
        <v>50</v>
      </c>
      <c r="C150" s="9" t="s">
        <v>468</v>
      </c>
      <c r="D150" s="1">
        <v>150</v>
      </c>
      <c r="E150" s="4">
        <f t="shared" si="2"/>
        <v>17.647058823529413</v>
      </c>
      <c r="F150" t="s">
        <v>297</v>
      </c>
      <c r="G150" t="s">
        <v>296</v>
      </c>
      <c r="I150">
        <v>117.14405499999999</v>
      </c>
      <c r="J150">
        <v>35.918663000000002</v>
      </c>
    </row>
    <row r="151" spans="1:10" x14ac:dyDescent="0.25">
      <c r="A151" s="1" t="s">
        <v>375</v>
      </c>
      <c r="B151" s="1" t="s">
        <v>50</v>
      </c>
      <c r="C151" t="s">
        <v>467</v>
      </c>
      <c r="D151" s="1">
        <v>150</v>
      </c>
      <c r="E151" s="4">
        <f t="shared" si="2"/>
        <v>17.647058823529413</v>
      </c>
      <c r="F151" t="s">
        <v>377</v>
      </c>
      <c r="G151" t="s">
        <v>376</v>
      </c>
      <c r="I151">
        <v>115.997443</v>
      </c>
      <c r="J151">
        <v>35.348512999999997</v>
      </c>
    </row>
    <row r="152" spans="1:10" x14ac:dyDescent="0.25">
      <c r="A152" s="1" t="s">
        <v>417</v>
      </c>
      <c r="B152" s="1" t="s">
        <v>50</v>
      </c>
      <c r="C152" t="s">
        <v>467</v>
      </c>
      <c r="D152" s="1">
        <v>100</v>
      </c>
      <c r="E152" s="4">
        <f t="shared" si="2"/>
        <v>11.764705882352942</v>
      </c>
      <c r="F152" t="s">
        <v>419</v>
      </c>
      <c r="G152" t="s">
        <v>418</v>
      </c>
      <c r="I152">
        <v>118.29385000000001</v>
      </c>
      <c r="J152">
        <v>36.822949999999999</v>
      </c>
    </row>
    <row r="153" spans="1:10" x14ac:dyDescent="0.25">
      <c r="A153" s="1" t="s">
        <v>76</v>
      </c>
      <c r="B153" s="1" t="s">
        <v>77</v>
      </c>
      <c r="C153" s="9" t="s">
        <v>473</v>
      </c>
      <c r="D153" s="1">
        <v>1000</v>
      </c>
      <c r="E153" s="4">
        <f t="shared" si="2"/>
        <v>117.64705882352941</v>
      </c>
      <c r="F153" t="s">
        <v>78</v>
      </c>
      <c r="G153" t="s">
        <v>77</v>
      </c>
      <c r="I153">
        <v>121.459242</v>
      </c>
      <c r="J153">
        <v>31.086797000000001</v>
      </c>
    </row>
    <row r="154" spans="1:10" x14ac:dyDescent="0.25">
      <c r="A154" s="1" t="s">
        <v>88</v>
      </c>
      <c r="B154" s="1" t="s">
        <v>89</v>
      </c>
      <c r="C154" s="9" t="s">
        <v>476</v>
      </c>
      <c r="D154" s="1">
        <v>900</v>
      </c>
      <c r="E154" s="4">
        <f t="shared" si="2"/>
        <v>105.88235294117646</v>
      </c>
      <c r="F154" t="s">
        <v>91</v>
      </c>
      <c r="G154" t="s">
        <v>90</v>
      </c>
      <c r="I154">
        <v>112.82397899999999</v>
      </c>
      <c r="J154">
        <v>39.609577999999999</v>
      </c>
    </row>
    <row r="155" spans="1:10" x14ac:dyDescent="0.25">
      <c r="A155" s="1" t="s">
        <v>109</v>
      </c>
      <c r="B155" s="1" t="s">
        <v>89</v>
      </c>
      <c r="C155" s="9" t="s">
        <v>475</v>
      </c>
      <c r="D155" s="1">
        <v>600</v>
      </c>
      <c r="E155" s="4">
        <f t="shared" si="2"/>
        <v>70.588235294117652</v>
      </c>
      <c r="F155" t="s">
        <v>111</v>
      </c>
      <c r="G155" t="s">
        <v>110</v>
      </c>
      <c r="I155">
        <v>113.239231</v>
      </c>
      <c r="J155">
        <v>39.981330999999997</v>
      </c>
    </row>
    <row r="156" spans="1:10" x14ac:dyDescent="0.25">
      <c r="A156" s="1" t="s">
        <v>200</v>
      </c>
      <c r="B156" s="1" t="s">
        <v>89</v>
      </c>
      <c r="C156" t="s">
        <v>475</v>
      </c>
      <c r="D156" s="1">
        <v>400</v>
      </c>
      <c r="E156" s="4">
        <f t="shared" si="2"/>
        <v>47.058823529411768</v>
      </c>
      <c r="F156" t="s">
        <v>202</v>
      </c>
      <c r="G156" t="s">
        <v>201</v>
      </c>
      <c r="I156">
        <v>110.770695</v>
      </c>
      <c r="J156">
        <v>35.126852</v>
      </c>
    </row>
    <row r="157" spans="1:10" x14ac:dyDescent="0.25">
      <c r="A157" s="1" t="s">
        <v>203</v>
      </c>
      <c r="B157" s="1" t="s">
        <v>89</v>
      </c>
      <c r="C157" t="s">
        <v>475</v>
      </c>
      <c r="D157" s="1">
        <v>400</v>
      </c>
      <c r="E157" s="4">
        <f t="shared" si="2"/>
        <v>47.058823529411768</v>
      </c>
      <c r="F157" t="s">
        <v>205</v>
      </c>
      <c r="G157" t="s">
        <v>204</v>
      </c>
      <c r="I157">
        <v>112.190921</v>
      </c>
      <c r="J157">
        <v>36.386754000000003</v>
      </c>
    </row>
    <row r="158" spans="1:10" x14ac:dyDescent="0.25">
      <c r="A158" s="1" t="s">
        <v>215</v>
      </c>
      <c r="B158" s="1" t="s">
        <v>89</v>
      </c>
      <c r="C158" t="s">
        <v>475</v>
      </c>
      <c r="D158" s="1">
        <v>400</v>
      </c>
      <c r="E158" s="4">
        <f t="shared" si="2"/>
        <v>47.058823529411768</v>
      </c>
      <c r="F158" t="s">
        <v>217</v>
      </c>
      <c r="G158" t="s">
        <v>216</v>
      </c>
      <c r="I158">
        <v>113.11689</v>
      </c>
      <c r="J158">
        <v>36.451324</v>
      </c>
    </row>
    <row r="159" spans="1:10" x14ac:dyDescent="0.25">
      <c r="A159" s="1" t="s">
        <v>218</v>
      </c>
      <c r="B159" s="1" t="s">
        <v>89</v>
      </c>
      <c r="C159" t="s">
        <v>475</v>
      </c>
      <c r="D159" s="1">
        <v>400</v>
      </c>
      <c r="E159" s="4">
        <f t="shared" si="2"/>
        <v>47.058823529411768</v>
      </c>
      <c r="F159" t="s">
        <v>205</v>
      </c>
      <c r="G159" t="s">
        <v>204</v>
      </c>
      <c r="I159">
        <v>111.47075700000001</v>
      </c>
      <c r="J159">
        <v>36.144378000000003</v>
      </c>
    </row>
    <row r="160" spans="1:10" x14ac:dyDescent="0.25">
      <c r="A160" s="1" t="s">
        <v>219</v>
      </c>
      <c r="B160" s="1" t="s">
        <v>89</v>
      </c>
      <c r="C160" t="s">
        <v>475</v>
      </c>
      <c r="D160" s="1">
        <v>400</v>
      </c>
      <c r="E160" s="4">
        <f t="shared" si="2"/>
        <v>47.058823529411768</v>
      </c>
      <c r="F160" t="s">
        <v>221</v>
      </c>
      <c r="G160" t="s">
        <v>220</v>
      </c>
      <c r="I160">
        <v>112.89503000000001</v>
      </c>
      <c r="J160">
        <v>35.659897000000001</v>
      </c>
    </row>
    <row r="161" spans="1:10" x14ac:dyDescent="0.25">
      <c r="A161" s="1" t="s">
        <v>237</v>
      </c>
      <c r="B161" s="1" t="s">
        <v>89</v>
      </c>
      <c r="C161" t="s">
        <v>475</v>
      </c>
      <c r="D161" s="1">
        <v>300</v>
      </c>
      <c r="E161" s="4">
        <f t="shared" si="2"/>
        <v>35.294117647058826</v>
      </c>
      <c r="F161" t="s">
        <v>239</v>
      </c>
      <c r="G161" t="s">
        <v>238</v>
      </c>
      <c r="I161">
        <v>87.602215000000001</v>
      </c>
      <c r="J161">
        <v>43.801122999999997</v>
      </c>
    </row>
    <row r="162" spans="1:10" x14ac:dyDescent="0.25">
      <c r="A162" s="1" t="s">
        <v>240</v>
      </c>
      <c r="B162" s="1" t="s">
        <v>89</v>
      </c>
      <c r="C162" t="s">
        <v>475</v>
      </c>
      <c r="D162" s="1">
        <v>300</v>
      </c>
      <c r="E162" s="4">
        <f t="shared" si="2"/>
        <v>35.294117647058826</v>
      </c>
      <c r="F162" t="s">
        <v>221</v>
      </c>
      <c r="G162" t="s">
        <v>220</v>
      </c>
      <c r="I162">
        <v>112.938174</v>
      </c>
      <c r="J162">
        <v>35.505712000000003</v>
      </c>
    </row>
    <row r="163" spans="1:10" x14ac:dyDescent="0.25">
      <c r="A163" s="1" t="s">
        <v>241</v>
      </c>
      <c r="B163" s="1" t="s">
        <v>89</v>
      </c>
      <c r="C163" t="s">
        <v>475</v>
      </c>
      <c r="D163" s="1">
        <v>300</v>
      </c>
      <c r="E163" s="4">
        <f t="shared" si="2"/>
        <v>35.294117647058826</v>
      </c>
      <c r="F163" t="s">
        <v>202</v>
      </c>
      <c r="G163" t="s">
        <v>201</v>
      </c>
      <c r="I163">
        <v>111.240786</v>
      </c>
      <c r="J163">
        <v>35.688460999999997</v>
      </c>
    </row>
    <row r="164" spans="1:10" x14ac:dyDescent="0.25">
      <c r="A164" s="1" t="s">
        <v>242</v>
      </c>
      <c r="B164" s="1" t="s">
        <v>89</v>
      </c>
      <c r="C164" t="s">
        <v>475</v>
      </c>
      <c r="D164" s="1">
        <v>300</v>
      </c>
      <c r="E164" s="4">
        <f t="shared" si="2"/>
        <v>35.294117647058826</v>
      </c>
      <c r="F164" t="s">
        <v>244</v>
      </c>
      <c r="G164" t="s">
        <v>243</v>
      </c>
      <c r="I164">
        <v>111.838915</v>
      </c>
      <c r="J164">
        <v>37.064708000000003</v>
      </c>
    </row>
    <row r="165" spans="1:10" x14ac:dyDescent="0.25">
      <c r="A165" s="1" t="s">
        <v>281</v>
      </c>
      <c r="B165" s="1" t="s">
        <v>89</v>
      </c>
      <c r="C165" t="s">
        <v>475</v>
      </c>
      <c r="D165" s="1">
        <v>300</v>
      </c>
      <c r="E165" s="4">
        <f t="shared" si="2"/>
        <v>35.294117647058826</v>
      </c>
      <c r="F165" t="s">
        <v>283</v>
      </c>
      <c r="G165" t="s">
        <v>282</v>
      </c>
      <c r="I165">
        <v>112.348994</v>
      </c>
      <c r="J165">
        <v>37.595547000000003</v>
      </c>
    </row>
    <row r="166" spans="1:10" x14ac:dyDescent="0.25">
      <c r="A166" s="1" t="s">
        <v>288</v>
      </c>
      <c r="B166" s="1" t="s">
        <v>89</v>
      </c>
      <c r="C166" t="s">
        <v>475</v>
      </c>
      <c r="D166" s="1">
        <v>300</v>
      </c>
      <c r="E166" s="4">
        <f t="shared" si="2"/>
        <v>35.294117647058826</v>
      </c>
      <c r="F166" t="s">
        <v>283</v>
      </c>
      <c r="G166" t="s">
        <v>282</v>
      </c>
      <c r="I166">
        <v>112.567395</v>
      </c>
      <c r="J166">
        <v>37.831673000000002</v>
      </c>
    </row>
    <row r="167" spans="1:10" x14ac:dyDescent="0.25">
      <c r="A167" s="1" t="s">
        <v>299</v>
      </c>
      <c r="B167" s="1" t="s">
        <v>89</v>
      </c>
      <c r="C167" t="s">
        <v>475</v>
      </c>
      <c r="D167" s="1">
        <v>250</v>
      </c>
      <c r="E167" s="4">
        <f t="shared" si="2"/>
        <v>29.411764705882351</v>
      </c>
      <c r="F167" t="s">
        <v>244</v>
      </c>
      <c r="G167" t="s">
        <v>243</v>
      </c>
      <c r="I167">
        <v>111.81694899999999</v>
      </c>
      <c r="J167">
        <v>37.08728</v>
      </c>
    </row>
    <row r="168" spans="1:10" x14ac:dyDescent="0.25">
      <c r="A168" s="1" t="s">
        <v>300</v>
      </c>
      <c r="B168" s="1" t="s">
        <v>89</v>
      </c>
      <c r="C168" t="s">
        <v>475</v>
      </c>
      <c r="D168" s="1">
        <v>250</v>
      </c>
      <c r="E168" s="4">
        <f t="shared" si="2"/>
        <v>29.411764705882351</v>
      </c>
      <c r="F168" t="s">
        <v>244</v>
      </c>
      <c r="G168" t="s">
        <v>243</v>
      </c>
      <c r="I168">
        <v>111.79259399999999</v>
      </c>
      <c r="J168">
        <v>37.092464999999997</v>
      </c>
    </row>
    <row r="169" spans="1:10" x14ac:dyDescent="0.25">
      <c r="A169" s="1" t="s">
        <v>308</v>
      </c>
      <c r="B169" s="1" t="s">
        <v>89</v>
      </c>
      <c r="C169" t="s">
        <v>475</v>
      </c>
      <c r="D169" s="1">
        <v>200</v>
      </c>
      <c r="E169" s="4">
        <f t="shared" si="2"/>
        <v>23.529411764705884</v>
      </c>
      <c r="F169" t="s">
        <v>205</v>
      </c>
      <c r="G169" t="s">
        <v>204</v>
      </c>
      <c r="I169">
        <v>111.499262</v>
      </c>
      <c r="J169">
        <v>35.938763000000002</v>
      </c>
    </row>
    <row r="170" spans="1:10" x14ac:dyDescent="0.25">
      <c r="A170" s="1" t="s">
        <v>309</v>
      </c>
      <c r="B170" s="1" t="s">
        <v>89</v>
      </c>
      <c r="C170" t="s">
        <v>475</v>
      </c>
      <c r="D170" s="1">
        <v>200</v>
      </c>
      <c r="E170" s="4">
        <f t="shared" si="2"/>
        <v>23.529411764705884</v>
      </c>
      <c r="F170" t="s">
        <v>221</v>
      </c>
      <c r="G170" t="s">
        <v>220</v>
      </c>
      <c r="I170">
        <v>112.83005300000001</v>
      </c>
      <c r="J170">
        <v>35.526913999999998</v>
      </c>
    </row>
    <row r="171" spans="1:10" x14ac:dyDescent="0.25">
      <c r="A171" s="1" t="s">
        <v>310</v>
      </c>
      <c r="B171" s="1" t="s">
        <v>89</v>
      </c>
      <c r="C171" t="s">
        <v>475</v>
      </c>
      <c r="D171" s="1">
        <v>200</v>
      </c>
      <c r="E171" s="4">
        <f t="shared" si="2"/>
        <v>23.529411764705884</v>
      </c>
      <c r="F171" t="s">
        <v>205</v>
      </c>
      <c r="G171" t="s">
        <v>204</v>
      </c>
      <c r="I171">
        <v>111.506095</v>
      </c>
      <c r="J171">
        <v>36.159872999999997</v>
      </c>
    </row>
    <row r="172" spans="1:10" x14ac:dyDescent="0.25">
      <c r="A172" s="1" t="s">
        <v>349</v>
      </c>
      <c r="B172" s="1" t="s">
        <v>89</v>
      </c>
      <c r="C172" t="s">
        <v>475</v>
      </c>
      <c r="D172" s="1">
        <v>200</v>
      </c>
      <c r="E172" s="4">
        <f t="shared" si="2"/>
        <v>23.529411764705884</v>
      </c>
      <c r="F172" t="s">
        <v>244</v>
      </c>
      <c r="G172" t="s">
        <v>243</v>
      </c>
      <c r="I172">
        <v>111.171694</v>
      </c>
      <c r="J172">
        <v>37.484853000000001</v>
      </c>
    </row>
    <row r="173" spans="1:10" x14ac:dyDescent="0.25">
      <c r="A173" s="1" t="s">
        <v>356</v>
      </c>
      <c r="B173" s="1" t="s">
        <v>89</v>
      </c>
      <c r="C173" t="s">
        <v>475</v>
      </c>
      <c r="D173" s="1">
        <v>200</v>
      </c>
      <c r="E173" s="4">
        <f t="shared" si="2"/>
        <v>23.529411764705884</v>
      </c>
      <c r="F173" t="s">
        <v>205</v>
      </c>
      <c r="G173" t="s">
        <v>204</v>
      </c>
      <c r="I173">
        <v>112.19521400000001</v>
      </c>
      <c r="J173">
        <v>36.385095</v>
      </c>
    </row>
    <row r="174" spans="1:10" x14ac:dyDescent="0.25">
      <c r="A174" s="1" t="s">
        <v>366</v>
      </c>
      <c r="B174" s="1" t="s">
        <v>89</v>
      </c>
      <c r="C174" t="s">
        <v>475</v>
      </c>
      <c r="D174" s="1">
        <v>150</v>
      </c>
      <c r="E174" s="4">
        <f t="shared" si="2"/>
        <v>17.647058823529413</v>
      </c>
      <c r="F174" t="s">
        <v>221</v>
      </c>
      <c r="G174" t="s">
        <v>220</v>
      </c>
      <c r="I174">
        <v>112.85021500000001</v>
      </c>
      <c r="J174">
        <v>35.767113999999999</v>
      </c>
    </row>
    <row r="175" spans="1:10" x14ac:dyDescent="0.25">
      <c r="A175" s="1" t="s">
        <v>367</v>
      </c>
      <c r="B175" s="1" t="s">
        <v>89</v>
      </c>
      <c r="C175" t="s">
        <v>475</v>
      </c>
      <c r="D175" s="1">
        <v>150</v>
      </c>
      <c r="E175" s="4">
        <f t="shared" si="2"/>
        <v>17.647058823529413</v>
      </c>
      <c r="F175" t="s">
        <v>205</v>
      </c>
      <c r="G175" t="s">
        <v>204</v>
      </c>
      <c r="I175">
        <v>111.35696299999999</v>
      </c>
      <c r="J175">
        <v>36.475149000000002</v>
      </c>
    </row>
    <row r="176" spans="1:10" x14ac:dyDescent="0.25">
      <c r="A176" s="1" t="s">
        <v>385</v>
      </c>
      <c r="B176" s="1" t="s">
        <v>89</v>
      </c>
      <c r="C176" t="s">
        <v>475</v>
      </c>
      <c r="D176" s="1">
        <v>150</v>
      </c>
      <c r="E176" s="4">
        <f t="shared" si="2"/>
        <v>17.647058823529413</v>
      </c>
      <c r="F176" t="s">
        <v>205</v>
      </c>
      <c r="G176" t="s">
        <v>204</v>
      </c>
      <c r="I176">
        <v>111.417086</v>
      </c>
      <c r="J176">
        <v>35.917185000000003</v>
      </c>
    </row>
    <row r="177" spans="1:10" x14ac:dyDescent="0.25">
      <c r="A177" s="1" t="s">
        <v>402</v>
      </c>
      <c r="B177" s="1" t="s">
        <v>89</v>
      </c>
      <c r="C177" t="s">
        <v>475</v>
      </c>
      <c r="D177" s="1">
        <v>100</v>
      </c>
      <c r="E177" s="4">
        <f t="shared" si="2"/>
        <v>11.764705882352942</v>
      </c>
      <c r="F177" t="s">
        <v>221</v>
      </c>
      <c r="G177" t="s">
        <v>220</v>
      </c>
      <c r="I177">
        <v>112.88208400000001</v>
      </c>
      <c r="J177">
        <v>35.749144000000001</v>
      </c>
    </row>
    <row r="178" spans="1:10" x14ac:dyDescent="0.25">
      <c r="A178" s="1" t="s">
        <v>403</v>
      </c>
      <c r="B178" s="1" t="s">
        <v>89</v>
      </c>
      <c r="C178" t="s">
        <v>475</v>
      </c>
      <c r="D178" s="1">
        <v>100</v>
      </c>
      <c r="E178" s="4">
        <f t="shared" si="2"/>
        <v>11.764705882352942</v>
      </c>
      <c r="F178" t="s">
        <v>221</v>
      </c>
      <c r="G178" t="s">
        <v>220</v>
      </c>
      <c r="I178">
        <v>112.907487</v>
      </c>
      <c r="J178">
        <v>35.764012999999998</v>
      </c>
    </row>
    <row r="179" spans="1:10" x14ac:dyDescent="0.25">
      <c r="A179" s="1" t="s">
        <v>404</v>
      </c>
      <c r="B179" s="1" t="s">
        <v>89</v>
      </c>
      <c r="C179" t="s">
        <v>475</v>
      </c>
      <c r="D179" s="1">
        <v>100</v>
      </c>
      <c r="E179" s="4">
        <f t="shared" si="2"/>
        <v>11.764705882352942</v>
      </c>
      <c r="F179" t="s">
        <v>244</v>
      </c>
      <c r="G179" t="s">
        <v>243</v>
      </c>
      <c r="I179">
        <v>111.668171</v>
      </c>
      <c r="J179">
        <v>37.194175000000001</v>
      </c>
    </row>
    <row r="180" spans="1:10" x14ac:dyDescent="0.25">
      <c r="A180" s="1" t="s">
        <v>432</v>
      </c>
      <c r="B180" s="1" t="s">
        <v>89</v>
      </c>
      <c r="C180" t="s">
        <v>475</v>
      </c>
      <c r="D180" s="1">
        <v>100</v>
      </c>
      <c r="E180" s="4">
        <f t="shared" si="2"/>
        <v>11.764705882352942</v>
      </c>
      <c r="F180" t="s">
        <v>217</v>
      </c>
      <c r="G180" t="s">
        <v>216</v>
      </c>
      <c r="I180">
        <v>112.267944</v>
      </c>
      <c r="J180">
        <v>36.750444999999999</v>
      </c>
    </row>
    <row r="181" spans="1:10" x14ac:dyDescent="0.25">
      <c r="A181" s="1" t="s">
        <v>438</v>
      </c>
      <c r="B181" s="1" t="s">
        <v>89</v>
      </c>
      <c r="C181" t="s">
        <v>475</v>
      </c>
      <c r="D181" s="1">
        <v>100</v>
      </c>
      <c r="E181" s="4">
        <f t="shared" si="2"/>
        <v>11.764705882352942</v>
      </c>
      <c r="F181" t="s">
        <v>205</v>
      </c>
      <c r="G181" t="s">
        <v>204</v>
      </c>
      <c r="I181">
        <v>111.99964</v>
      </c>
      <c r="J181">
        <v>36.354675999999998</v>
      </c>
    </row>
    <row r="182" spans="1:10" x14ac:dyDescent="0.25">
      <c r="A182" s="1" t="s">
        <v>165</v>
      </c>
      <c r="B182" s="1" t="s">
        <v>166</v>
      </c>
      <c r="C182" s="9" t="s">
        <v>489</v>
      </c>
      <c r="D182" s="1">
        <v>500</v>
      </c>
      <c r="E182" s="4">
        <f t="shared" si="2"/>
        <v>58.823529411764703</v>
      </c>
      <c r="F182" t="s">
        <v>168</v>
      </c>
      <c r="G182" t="s">
        <v>167</v>
      </c>
      <c r="I182">
        <v>107.477586</v>
      </c>
      <c r="J182">
        <v>31.142696000000001</v>
      </c>
    </row>
    <row r="183" spans="1:10" x14ac:dyDescent="0.25">
      <c r="A183" s="1" t="s">
        <v>196</v>
      </c>
      <c r="B183" s="1" t="s">
        <v>166</v>
      </c>
      <c r="C183" t="s">
        <v>488</v>
      </c>
      <c r="D183" s="1">
        <v>450</v>
      </c>
      <c r="E183" s="4">
        <f t="shared" si="2"/>
        <v>52.941176470588232</v>
      </c>
      <c r="F183" t="s">
        <v>198</v>
      </c>
      <c r="G183" t="s">
        <v>197</v>
      </c>
      <c r="I183">
        <v>105.380093</v>
      </c>
      <c r="J183">
        <v>28.774339999999999</v>
      </c>
    </row>
    <row r="184" spans="1:10" x14ac:dyDescent="0.25">
      <c r="A184" s="1" t="s">
        <v>211</v>
      </c>
      <c r="B184" s="1" t="s">
        <v>166</v>
      </c>
      <c r="C184" t="s">
        <v>488</v>
      </c>
      <c r="D184" s="1">
        <v>400</v>
      </c>
      <c r="E184" s="4">
        <f t="shared" si="2"/>
        <v>47.058823529411768</v>
      </c>
      <c r="I184">
        <v>121.966212</v>
      </c>
      <c r="J184">
        <v>30.311938000000001</v>
      </c>
    </row>
    <row r="185" spans="1:10" x14ac:dyDescent="0.25">
      <c r="A185" s="1" t="s">
        <v>386</v>
      </c>
      <c r="B185" s="1" t="s">
        <v>166</v>
      </c>
      <c r="C185" t="s">
        <v>488</v>
      </c>
      <c r="D185" s="1">
        <v>150</v>
      </c>
      <c r="E185" s="4">
        <f t="shared" si="2"/>
        <v>17.647058823529413</v>
      </c>
      <c r="F185" t="s">
        <v>388</v>
      </c>
      <c r="G185" t="s">
        <v>387</v>
      </c>
      <c r="I185">
        <v>104.807956</v>
      </c>
      <c r="J185">
        <v>31.810939999999999</v>
      </c>
    </row>
    <row r="186" spans="1:10" x14ac:dyDescent="0.25">
      <c r="A186" s="1" t="s">
        <v>156</v>
      </c>
      <c r="B186" s="1" t="s">
        <v>157</v>
      </c>
      <c r="C186" s="9" t="s">
        <v>485</v>
      </c>
      <c r="D186" s="1">
        <v>500</v>
      </c>
      <c r="E186" s="4">
        <f t="shared" si="2"/>
        <v>58.823529411764703</v>
      </c>
      <c r="F186" t="s">
        <v>158</v>
      </c>
      <c r="G186" t="s">
        <v>157</v>
      </c>
      <c r="I186">
        <v>117.72578</v>
      </c>
      <c r="J186">
        <v>38.937055999999998</v>
      </c>
    </row>
    <row r="187" spans="1:10" x14ac:dyDescent="0.25">
      <c r="A187" s="1" t="s">
        <v>41</v>
      </c>
      <c r="B187" s="10" t="s">
        <v>463</v>
      </c>
      <c r="C187" s="9" t="s">
        <v>465</v>
      </c>
      <c r="D187" s="1">
        <v>1800</v>
      </c>
      <c r="E187" s="4">
        <f t="shared" si="2"/>
        <v>211.76470588235293</v>
      </c>
      <c r="F187" s="5" t="s">
        <v>44</v>
      </c>
      <c r="G187" t="s">
        <v>43</v>
      </c>
      <c r="I187">
        <v>116.398005</v>
      </c>
      <c r="J187">
        <v>39.950980000000001</v>
      </c>
    </row>
    <row r="188" spans="1:10" x14ac:dyDescent="0.25">
      <c r="A188" s="1" t="s">
        <v>69</v>
      </c>
      <c r="B188" s="1" t="s">
        <v>42</v>
      </c>
      <c r="C188" t="s">
        <v>464</v>
      </c>
      <c r="D188" s="1">
        <v>1200</v>
      </c>
      <c r="E188" s="4">
        <f t="shared" si="2"/>
        <v>141.1764705882353</v>
      </c>
      <c r="F188" t="s">
        <v>71</v>
      </c>
      <c r="G188" t="s">
        <v>70</v>
      </c>
      <c r="I188">
        <v>87.595860000000002</v>
      </c>
      <c r="J188">
        <v>43.892439000000003</v>
      </c>
    </row>
    <row r="189" spans="1:10" x14ac:dyDescent="0.25">
      <c r="A189" s="1" t="s">
        <v>138</v>
      </c>
      <c r="B189" s="1" t="s">
        <v>42</v>
      </c>
      <c r="C189" t="s">
        <v>464</v>
      </c>
      <c r="D189" s="1">
        <v>600</v>
      </c>
      <c r="E189" s="4">
        <f t="shared" si="2"/>
        <v>70.588235294117652</v>
      </c>
      <c r="F189" t="s">
        <v>140</v>
      </c>
      <c r="G189" t="s">
        <v>139</v>
      </c>
      <c r="I189">
        <v>86.043845000000005</v>
      </c>
      <c r="J189">
        <v>44.370539000000001</v>
      </c>
    </row>
    <row r="190" spans="1:10" x14ac:dyDescent="0.25">
      <c r="A190" s="1" t="s">
        <v>173</v>
      </c>
      <c r="B190" s="1" t="s">
        <v>42</v>
      </c>
      <c r="C190" t="s">
        <v>464</v>
      </c>
      <c r="D190" s="1">
        <v>500</v>
      </c>
      <c r="E190" s="4">
        <f t="shared" si="2"/>
        <v>58.823529411764703</v>
      </c>
      <c r="F190" t="s">
        <v>175</v>
      </c>
      <c r="G190" t="s">
        <v>174</v>
      </c>
      <c r="I190">
        <v>87.689891000000003</v>
      </c>
      <c r="J190">
        <v>44.360219000000001</v>
      </c>
    </row>
    <row r="191" spans="1:10" x14ac:dyDescent="0.25">
      <c r="A191" s="1" t="s">
        <v>191</v>
      </c>
      <c r="B191" s="1" t="s">
        <v>42</v>
      </c>
      <c r="C191" t="s">
        <v>464</v>
      </c>
      <c r="D191" s="1">
        <v>480</v>
      </c>
      <c r="E191" s="4">
        <f t="shared" si="2"/>
        <v>56.470588235294116</v>
      </c>
      <c r="F191" t="s">
        <v>193</v>
      </c>
      <c r="G191" t="s">
        <v>192</v>
      </c>
      <c r="I191">
        <v>84.103065000000001</v>
      </c>
      <c r="J191">
        <v>41.851804999999999</v>
      </c>
    </row>
    <row r="192" spans="1:10" x14ac:dyDescent="0.25">
      <c r="A192" s="1" t="s">
        <v>279</v>
      </c>
      <c r="B192" s="1" t="s">
        <v>42</v>
      </c>
      <c r="C192" t="s">
        <v>464</v>
      </c>
      <c r="D192" s="1">
        <v>300</v>
      </c>
      <c r="E192" s="4">
        <f t="shared" si="2"/>
        <v>35.294117647058826</v>
      </c>
      <c r="F192" t="s">
        <v>44</v>
      </c>
      <c r="G192" t="s">
        <v>43</v>
      </c>
      <c r="I192">
        <v>87.783529999999999</v>
      </c>
      <c r="J192">
        <v>44.155045999999999</v>
      </c>
    </row>
    <row r="193" spans="1:10" x14ac:dyDescent="0.25">
      <c r="A193" s="1" t="s">
        <v>335</v>
      </c>
      <c r="B193" s="1" t="s">
        <v>42</v>
      </c>
      <c r="C193" t="s">
        <v>464</v>
      </c>
      <c r="D193" s="1">
        <v>200</v>
      </c>
      <c r="E193" s="4">
        <f t="shared" si="2"/>
        <v>23.529411764705884</v>
      </c>
      <c r="F193" t="s">
        <v>337</v>
      </c>
      <c r="G193" t="s">
        <v>336</v>
      </c>
      <c r="I193">
        <v>89.085133999999996</v>
      </c>
      <c r="J193">
        <v>44.716245000000001</v>
      </c>
    </row>
    <row r="194" spans="1:10" x14ac:dyDescent="0.25">
      <c r="A194" s="1" t="s">
        <v>338</v>
      </c>
      <c r="B194" s="1" t="s">
        <v>42</v>
      </c>
      <c r="C194" t="s">
        <v>464</v>
      </c>
      <c r="D194" s="1">
        <v>200</v>
      </c>
      <c r="E194" s="4">
        <f t="shared" ref="E194:E257" si="3">D194*1000/8500</f>
        <v>23.529411764705884</v>
      </c>
      <c r="F194" t="s">
        <v>340</v>
      </c>
      <c r="G194" t="s">
        <v>339</v>
      </c>
      <c r="I194">
        <v>83.096762999999996</v>
      </c>
      <c r="J194">
        <v>41.741458999999999</v>
      </c>
    </row>
    <row r="195" spans="1:10" x14ac:dyDescent="0.25">
      <c r="A195" s="1" t="s">
        <v>341</v>
      </c>
      <c r="B195" s="1" t="s">
        <v>42</v>
      </c>
      <c r="C195" t="s">
        <v>464</v>
      </c>
      <c r="D195" s="1">
        <v>200</v>
      </c>
      <c r="E195" s="4">
        <f t="shared" si="3"/>
        <v>23.529411764705884</v>
      </c>
      <c r="F195" t="s">
        <v>340</v>
      </c>
      <c r="G195" t="s">
        <v>342</v>
      </c>
      <c r="I195">
        <v>81.790930000000003</v>
      </c>
      <c r="J195">
        <v>41.83981</v>
      </c>
    </row>
    <row r="196" spans="1:10" x14ac:dyDescent="0.25">
      <c r="A196" s="1" t="s">
        <v>378</v>
      </c>
      <c r="B196" s="1" t="s">
        <v>42</v>
      </c>
      <c r="C196" t="s">
        <v>464</v>
      </c>
      <c r="D196" s="1">
        <v>150</v>
      </c>
      <c r="E196" s="4">
        <f t="shared" si="3"/>
        <v>17.647058823529413</v>
      </c>
      <c r="F196" t="s">
        <v>380</v>
      </c>
      <c r="G196" t="s">
        <v>379</v>
      </c>
      <c r="I196">
        <v>86.376277000000002</v>
      </c>
      <c r="J196">
        <v>44.217427999999998</v>
      </c>
    </row>
    <row r="197" spans="1:10" x14ac:dyDescent="0.25">
      <c r="A197" s="1" t="s">
        <v>439</v>
      </c>
      <c r="B197" s="1" t="s">
        <v>42</v>
      </c>
      <c r="C197" t="s">
        <v>464</v>
      </c>
      <c r="D197" s="1">
        <v>85</v>
      </c>
      <c r="E197" s="4">
        <f t="shared" si="3"/>
        <v>10</v>
      </c>
      <c r="F197" t="s">
        <v>441</v>
      </c>
      <c r="G197" t="s">
        <v>440</v>
      </c>
      <c r="I197">
        <v>86.188618000000005</v>
      </c>
      <c r="J197">
        <v>41.736575999999999</v>
      </c>
    </row>
    <row r="198" spans="1:10" x14ac:dyDescent="0.25">
      <c r="A198" s="1" t="s">
        <v>169</v>
      </c>
      <c r="B198" s="1" t="s">
        <v>170</v>
      </c>
      <c r="C198" s="9" t="s">
        <v>491</v>
      </c>
      <c r="D198" s="1">
        <v>500</v>
      </c>
      <c r="E198" s="4">
        <f t="shared" si="3"/>
        <v>58.823529411764703</v>
      </c>
      <c r="F198" t="s">
        <v>172</v>
      </c>
      <c r="G198" t="s">
        <v>171</v>
      </c>
      <c r="I198">
        <v>103.212125</v>
      </c>
      <c r="J198">
        <v>25.567350000000001</v>
      </c>
    </row>
    <row r="199" spans="1:10" x14ac:dyDescent="0.25">
      <c r="A199" s="1" t="s">
        <v>212</v>
      </c>
      <c r="B199" s="1" t="s">
        <v>170</v>
      </c>
      <c r="C199" t="s">
        <v>490</v>
      </c>
      <c r="D199" s="1">
        <v>400</v>
      </c>
      <c r="E199" s="4">
        <f t="shared" si="3"/>
        <v>47.058823529411768</v>
      </c>
      <c r="F199" t="s">
        <v>214</v>
      </c>
      <c r="G199" t="s">
        <v>213</v>
      </c>
      <c r="I199">
        <v>103.86647600000001</v>
      </c>
      <c r="J199">
        <v>25.692425</v>
      </c>
    </row>
    <row r="200" spans="1:10" x14ac:dyDescent="0.25">
      <c r="A200" s="1" t="s">
        <v>289</v>
      </c>
      <c r="B200" s="1" t="s">
        <v>170</v>
      </c>
      <c r="C200" t="s">
        <v>490</v>
      </c>
      <c r="D200" s="1">
        <v>260</v>
      </c>
      <c r="E200" s="4">
        <f t="shared" si="3"/>
        <v>30.588235294117649</v>
      </c>
      <c r="F200" t="s">
        <v>291</v>
      </c>
      <c r="G200" t="s">
        <v>290</v>
      </c>
      <c r="I200">
        <v>104.41279900000001</v>
      </c>
      <c r="J200">
        <v>28.637419999999999</v>
      </c>
    </row>
    <row r="201" spans="1:10" x14ac:dyDescent="0.25">
      <c r="A201" s="1" t="s">
        <v>423</v>
      </c>
      <c r="B201" s="1" t="s">
        <v>170</v>
      </c>
      <c r="C201" t="s">
        <v>490</v>
      </c>
      <c r="D201" s="1">
        <v>100</v>
      </c>
      <c r="E201" s="4">
        <f t="shared" si="3"/>
        <v>11.764705882352942</v>
      </c>
      <c r="F201" t="s">
        <v>425</v>
      </c>
      <c r="G201" t="s">
        <v>424</v>
      </c>
      <c r="I201">
        <v>103.253258</v>
      </c>
      <c r="J201">
        <v>23.733599999999999</v>
      </c>
    </row>
    <row r="202" spans="1:10" x14ac:dyDescent="0.25">
      <c r="A202" s="1" t="s">
        <v>431</v>
      </c>
      <c r="B202" s="1" t="s">
        <v>170</v>
      </c>
      <c r="C202" t="s">
        <v>490</v>
      </c>
      <c r="D202" s="1">
        <v>100</v>
      </c>
      <c r="E202" s="4">
        <f t="shared" si="3"/>
        <v>11.764705882352942</v>
      </c>
      <c r="F202" t="s">
        <v>214</v>
      </c>
      <c r="G202" t="s">
        <v>213</v>
      </c>
      <c r="I202">
        <v>104.049908</v>
      </c>
      <c r="J202">
        <v>24.886410999999999</v>
      </c>
    </row>
    <row r="203" spans="1:10" x14ac:dyDescent="0.25">
      <c r="A203" s="1" t="s">
        <v>207</v>
      </c>
      <c r="B203" s="1" t="s">
        <v>208</v>
      </c>
      <c r="C203" s="9" t="s">
        <v>496</v>
      </c>
      <c r="D203" s="1">
        <v>400</v>
      </c>
      <c r="E203" s="4">
        <f t="shared" si="3"/>
        <v>47.058823529411768</v>
      </c>
      <c r="F203" t="s">
        <v>210</v>
      </c>
      <c r="G203" t="s">
        <v>209</v>
      </c>
      <c r="I203">
        <v>120.067082</v>
      </c>
      <c r="J203">
        <v>30.074245999999999</v>
      </c>
    </row>
    <row r="204" spans="1:10" x14ac:dyDescent="0.25">
      <c r="A204" s="1" t="s">
        <v>359</v>
      </c>
      <c r="B204" s="1" t="s">
        <v>208</v>
      </c>
      <c r="C204" t="s">
        <v>495</v>
      </c>
      <c r="D204" s="1">
        <v>160</v>
      </c>
      <c r="E204" s="4">
        <f t="shared" si="3"/>
        <v>18.823529411764707</v>
      </c>
      <c r="F204" t="s">
        <v>361</v>
      </c>
      <c r="G204" t="s">
        <v>360</v>
      </c>
      <c r="I204">
        <v>121.630304</v>
      </c>
      <c r="J204">
        <v>30.057058000000001</v>
      </c>
    </row>
    <row r="205" spans="1:10" x14ac:dyDescent="0.25">
      <c r="A205" s="1" t="s">
        <v>435</v>
      </c>
      <c r="B205" s="1" t="s">
        <v>208</v>
      </c>
      <c r="C205" t="s">
        <v>495</v>
      </c>
      <c r="D205" s="1">
        <v>100</v>
      </c>
      <c r="E205" s="4">
        <f t="shared" si="3"/>
        <v>11.764705882352942</v>
      </c>
      <c r="F205" t="s">
        <v>361</v>
      </c>
      <c r="G205" t="s">
        <v>360</v>
      </c>
      <c r="I205">
        <v>121.964776</v>
      </c>
      <c r="J205">
        <v>29.942710000000002</v>
      </c>
    </row>
    <row r="206" spans="1:10" x14ac:dyDescent="0.25">
      <c r="A206" s="3"/>
      <c r="B206" s="3"/>
      <c r="D206" s="4">
        <v>6100</v>
      </c>
      <c r="E206" s="4">
        <f t="shared" si="3"/>
        <v>717.64705882352939</v>
      </c>
      <c r="F206" t="s">
        <v>10</v>
      </c>
      <c r="G206" t="s">
        <v>9</v>
      </c>
      <c r="I206">
        <v>106.557002</v>
      </c>
      <c r="J206">
        <v>38.233499999999999</v>
      </c>
    </row>
    <row r="207" spans="1:10" x14ac:dyDescent="0.25">
      <c r="A207" s="3"/>
      <c r="B207" s="3"/>
      <c r="D207" s="4">
        <v>620</v>
      </c>
      <c r="E207" s="4">
        <f t="shared" si="3"/>
        <v>72.941176470588232</v>
      </c>
      <c r="F207" t="s">
        <v>10</v>
      </c>
      <c r="G207" t="s">
        <v>9</v>
      </c>
      <c r="I207">
        <v>106.557002</v>
      </c>
      <c r="J207">
        <v>38.233499999999999</v>
      </c>
    </row>
    <row r="208" spans="1:10" x14ac:dyDescent="0.25">
      <c r="A208" s="3"/>
      <c r="B208" s="3"/>
      <c r="D208" s="4">
        <v>600</v>
      </c>
      <c r="E208" s="4">
        <f t="shared" si="3"/>
        <v>70.588235294117652</v>
      </c>
    </row>
    <row r="209" spans="1:10" x14ac:dyDescent="0.25">
      <c r="A209" s="3"/>
      <c r="B209" s="3"/>
      <c r="D209" s="4">
        <v>1200</v>
      </c>
      <c r="E209" s="4">
        <f t="shared" si="3"/>
        <v>141.1764705882353</v>
      </c>
    </row>
    <row r="210" spans="1:10" x14ac:dyDescent="0.25">
      <c r="D210" s="1">
        <v>1200</v>
      </c>
      <c r="E210" s="4">
        <f t="shared" si="3"/>
        <v>141.1764705882353</v>
      </c>
    </row>
    <row r="211" spans="1:10" x14ac:dyDescent="0.25">
      <c r="D211" s="1">
        <v>200</v>
      </c>
      <c r="E211" s="4">
        <f t="shared" si="3"/>
        <v>23.529411764705884</v>
      </c>
    </row>
    <row r="212" spans="1:10" x14ac:dyDescent="0.25">
      <c r="D212" s="1">
        <v>500</v>
      </c>
      <c r="E212" s="4">
        <f t="shared" si="3"/>
        <v>58.823529411764703</v>
      </c>
    </row>
    <row r="213" spans="1:10" x14ac:dyDescent="0.25">
      <c r="D213" s="1">
        <v>400</v>
      </c>
      <c r="E213" s="4">
        <f t="shared" si="3"/>
        <v>47.058823529411768</v>
      </c>
    </row>
    <row r="214" spans="1:10" x14ac:dyDescent="0.25">
      <c r="D214" s="1">
        <v>600</v>
      </c>
      <c r="E214" s="4">
        <f t="shared" si="3"/>
        <v>70.588235294117652</v>
      </c>
    </row>
    <row r="215" spans="1:10" x14ac:dyDescent="0.25">
      <c r="D215" s="1">
        <v>100</v>
      </c>
      <c r="E215" s="4">
        <f t="shared" si="3"/>
        <v>11.764705882352942</v>
      </c>
    </row>
    <row r="216" spans="1:10" x14ac:dyDescent="0.25">
      <c r="D216" s="1">
        <v>300</v>
      </c>
      <c r="E216" s="4">
        <f t="shared" si="3"/>
        <v>35.294117647058826</v>
      </c>
    </row>
    <row r="217" spans="1:10" x14ac:dyDescent="0.25">
      <c r="D217" s="1">
        <v>180</v>
      </c>
      <c r="E217" s="4">
        <f t="shared" si="3"/>
        <v>21.176470588235293</v>
      </c>
    </row>
    <row r="218" spans="1:10" x14ac:dyDescent="0.25">
      <c r="D218" s="1">
        <v>200</v>
      </c>
      <c r="E218" s="4">
        <f t="shared" si="3"/>
        <v>23.529411764705884</v>
      </c>
    </row>
    <row r="219" spans="1:10" x14ac:dyDescent="0.25">
      <c r="D219" s="1">
        <v>200</v>
      </c>
      <c r="E219" s="4">
        <f t="shared" si="3"/>
        <v>23.529411764705884</v>
      </c>
    </row>
    <row r="220" spans="1:10" x14ac:dyDescent="0.25">
      <c r="A220" s="1" t="s">
        <v>384</v>
      </c>
      <c r="B220" s="1" t="s">
        <v>50</v>
      </c>
      <c r="D220" s="1">
        <v>150</v>
      </c>
      <c r="E220" s="4">
        <f t="shared" si="3"/>
        <v>17.647058823529413</v>
      </c>
      <c r="F220" t="s">
        <v>108</v>
      </c>
      <c r="G220" t="s">
        <v>107</v>
      </c>
      <c r="I220">
        <v>116.58927300000001</v>
      </c>
      <c r="J220">
        <v>35.079079999999998</v>
      </c>
    </row>
    <row r="221" spans="1:10" x14ac:dyDescent="0.25">
      <c r="A221" s="11" t="s">
        <v>454</v>
      </c>
      <c r="B221" s="1" t="s">
        <v>393</v>
      </c>
      <c r="D221" s="1">
        <v>120</v>
      </c>
      <c r="E221" s="4">
        <f t="shared" si="3"/>
        <v>14.117647058823529</v>
      </c>
      <c r="F221" t="s">
        <v>395</v>
      </c>
      <c r="G221" t="s">
        <v>394</v>
      </c>
      <c r="I221">
        <v>125.820886</v>
      </c>
      <c r="J221">
        <v>41.787010000000002</v>
      </c>
    </row>
  </sheetData>
  <autoFilter ref="A1:J221" xr:uid="{00000000-0001-0000-0000-000000000000}">
    <sortState xmlns:xlrd2="http://schemas.microsoft.com/office/spreadsheetml/2017/richdata2" ref="A2:J221">
      <sortCondition ref="C1:C221"/>
    </sortState>
  </autoFilter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50AE-0AD4-486D-BF28-8F47884C84B1}">
  <dimension ref="A1:I313"/>
  <sheetViews>
    <sheetView tabSelected="1" topLeftCell="D1" zoomScaleNormal="100" workbookViewId="0">
      <pane ySplit="1" topLeftCell="A2" activePane="bottomLeft" state="frozen"/>
      <selection pane="bottomLeft" activeCell="F27" sqref="F27"/>
    </sheetView>
  </sheetViews>
  <sheetFormatPr defaultRowHeight="13.8" x14ac:dyDescent="0.25"/>
  <cols>
    <col min="1" max="1" width="16.88671875" customWidth="1"/>
    <col min="2" max="2" width="23.88671875" customWidth="1"/>
    <col min="3" max="3" width="28.33203125" style="16" customWidth="1"/>
    <col min="4" max="4" width="25.88671875" customWidth="1"/>
    <col min="5" max="5" width="19.33203125" customWidth="1"/>
    <col min="6" max="6" width="15.5546875" customWidth="1"/>
    <col min="7" max="7" width="16.88671875" customWidth="1"/>
    <col min="8" max="8" width="19.5546875" customWidth="1"/>
    <col min="9" max="9" width="23.77734375" style="1" customWidth="1"/>
  </cols>
  <sheetData>
    <row r="1" spans="1:9" s="15" customFormat="1" x14ac:dyDescent="0.25">
      <c r="A1" s="15" t="s">
        <v>455</v>
      </c>
      <c r="B1" s="15" t="s">
        <v>574</v>
      </c>
      <c r="C1" s="25" t="s">
        <v>579</v>
      </c>
      <c r="D1" s="65" t="s">
        <v>580</v>
      </c>
      <c r="E1" s="15" t="s">
        <v>575</v>
      </c>
      <c r="F1" s="15" t="s">
        <v>576</v>
      </c>
      <c r="G1" s="2" t="s">
        <v>594</v>
      </c>
      <c r="H1" s="2" t="s">
        <v>595</v>
      </c>
      <c r="I1" s="26" t="s">
        <v>581</v>
      </c>
    </row>
    <row r="2" spans="1:9" s="19" customFormat="1" x14ac:dyDescent="0.25">
      <c r="A2" s="18" t="s">
        <v>457</v>
      </c>
      <c r="B2" s="19" t="s">
        <v>10</v>
      </c>
      <c r="C2" s="20">
        <f>SUM(F3:F7)</f>
        <v>11740</v>
      </c>
      <c r="D2" s="19">
        <f>C2*1000/8760</f>
        <v>1340.1826484018266</v>
      </c>
      <c r="I2" s="23"/>
    </row>
    <row r="3" spans="1:9" x14ac:dyDescent="0.25">
      <c r="A3" s="9"/>
      <c r="E3" s="3" t="s">
        <v>7</v>
      </c>
      <c r="F3" s="4">
        <v>6720</v>
      </c>
      <c r="G3">
        <v>106.557002</v>
      </c>
      <c r="H3">
        <v>38.233499999999999</v>
      </c>
      <c r="I3" s="10" t="s">
        <v>577</v>
      </c>
    </row>
    <row r="4" spans="1:9" x14ac:dyDescent="0.25">
      <c r="E4" s="3" t="s">
        <v>21</v>
      </c>
      <c r="F4" s="4">
        <v>3520</v>
      </c>
      <c r="G4">
        <v>106.631818</v>
      </c>
      <c r="H4">
        <v>38.192028999999998</v>
      </c>
      <c r="I4" s="1" t="s">
        <v>11</v>
      </c>
    </row>
    <row r="5" spans="1:9" x14ac:dyDescent="0.25">
      <c r="E5" s="1" t="s">
        <v>136</v>
      </c>
      <c r="F5" s="1">
        <v>600</v>
      </c>
      <c r="G5">
        <v>106.576284</v>
      </c>
      <c r="H5">
        <v>38.159309999999998</v>
      </c>
      <c r="I5" s="1" t="s">
        <v>11</v>
      </c>
    </row>
    <row r="6" spans="1:9" x14ac:dyDescent="0.25">
      <c r="E6" s="1" t="s">
        <v>152</v>
      </c>
      <c r="F6" s="1">
        <v>600</v>
      </c>
      <c r="G6">
        <v>106.700923</v>
      </c>
      <c r="H6">
        <v>38.091786999999997</v>
      </c>
      <c r="I6" s="1" t="s">
        <v>11</v>
      </c>
    </row>
    <row r="7" spans="1:9" x14ac:dyDescent="0.25">
      <c r="E7" s="1" t="s">
        <v>278</v>
      </c>
      <c r="F7" s="1">
        <v>300</v>
      </c>
      <c r="G7">
        <v>106.594697</v>
      </c>
      <c r="H7">
        <v>38.201155999999997</v>
      </c>
      <c r="I7" s="1" t="s">
        <v>11</v>
      </c>
    </row>
    <row r="8" spans="1:9" s="19" customFormat="1" x14ac:dyDescent="0.25">
      <c r="A8" s="18" t="s">
        <v>457</v>
      </c>
      <c r="B8" s="18" t="s">
        <v>578</v>
      </c>
      <c r="C8" s="20">
        <f>F9</f>
        <v>150</v>
      </c>
      <c r="D8" s="19">
        <f>C8*1000/8760</f>
        <v>17.123287671232877</v>
      </c>
      <c r="I8" s="23"/>
    </row>
    <row r="9" spans="1:9" x14ac:dyDescent="0.25">
      <c r="A9" s="9"/>
      <c r="B9" s="9"/>
      <c r="E9" s="1" t="s">
        <v>381</v>
      </c>
      <c r="F9" s="1">
        <v>150</v>
      </c>
      <c r="G9">
        <v>106.578969</v>
      </c>
      <c r="H9">
        <v>37.411445000000001</v>
      </c>
      <c r="I9" s="1" t="s">
        <v>12</v>
      </c>
    </row>
    <row r="10" spans="1:9" s="19" customFormat="1" x14ac:dyDescent="0.25">
      <c r="A10" s="19" t="s">
        <v>458</v>
      </c>
      <c r="B10" s="19" t="s">
        <v>224</v>
      </c>
      <c r="C10" s="20">
        <f>F11+F12</f>
        <v>700</v>
      </c>
      <c r="D10" s="19">
        <f>C10*1000/8760</f>
        <v>79.908675799086751</v>
      </c>
      <c r="I10" s="23"/>
    </row>
    <row r="11" spans="1:9" x14ac:dyDescent="0.25">
      <c r="E11" s="1" t="s">
        <v>222</v>
      </c>
      <c r="F11" s="1">
        <v>400</v>
      </c>
      <c r="G11">
        <v>106.52777399999999</v>
      </c>
      <c r="H11">
        <v>39.535131</v>
      </c>
      <c r="I11" s="1" t="s">
        <v>12</v>
      </c>
    </row>
    <row r="12" spans="1:9" x14ac:dyDescent="0.25">
      <c r="E12" s="1" t="s">
        <v>252</v>
      </c>
      <c r="F12" s="1">
        <v>300</v>
      </c>
      <c r="G12">
        <v>106.723113</v>
      </c>
      <c r="H12">
        <v>39.420228000000002</v>
      </c>
      <c r="I12" s="1" t="s">
        <v>12</v>
      </c>
    </row>
    <row r="13" spans="1:9" s="19" customFormat="1" x14ac:dyDescent="0.25">
      <c r="A13" s="19" t="s">
        <v>458</v>
      </c>
      <c r="B13" s="19" t="s">
        <v>248</v>
      </c>
      <c r="C13" s="20">
        <v>300</v>
      </c>
      <c r="D13" s="19">
        <f t="shared" ref="D13:D69" si="0">C13*1000/8760</f>
        <v>34.246575342465754</v>
      </c>
      <c r="I13" s="23"/>
    </row>
    <row r="14" spans="1:9" x14ac:dyDescent="0.25">
      <c r="E14" s="1" t="s">
        <v>246</v>
      </c>
      <c r="F14" s="1">
        <v>300</v>
      </c>
      <c r="G14">
        <v>106.78479299999999</v>
      </c>
      <c r="H14">
        <v>40.941141999999999</v>
      </c>
      <c r="I14" s="1" t="s">
        <v>12</v>
      </c>
    </row>
    <row r="15" spans="1:9" s="19" customFormat="1" x14ac:dyDescent="0.25">
      <c r="A15" s="19" t="s">
        <v>458</v>
      </c>
      <c r="B15" s="19" t="s">
        <v>40</v>
      </c>
      <c r="C15" s="20">
        <f>SUM(F16:F18)</f>
        <v>2100</v>
      </c>
      <c r="D15" s="19">
        <f t="shared" si="0"/>
        <v>239.72602739726028</v>
      </c>
      <c r="I15" s="23"/>
    </row>
    <row r="16" spans="1:9" x14ac:dyDescent="0.25">
      <c r="E16" s="1" t="s">
        <v>38</v>
      </c>
      <c r="F16" s="1">
        <v>1800</v>
      </c>
      <c r="G16">
        <v>109.868323</v>
      </c>
      <c r="H16">
        <v>40.599355000000003</v>
      </c>
      <c r="I16" s="1" t="s">
        <v>11</v>
      </c>
    </row>
    <row r="17" spans="1:9" x14ac:dyDescent="0.25">
      <c r="E17" s="1" t="s">
        <v>311</v>
      </c>
      <c r="F17" s="1">
        <v>200</v>
      </c>
      <c r="G17">
        <v>109.786332</v>
      </c>
      <c r="H17">
        <v>40.665022999999998</v>
      </c>
      <c r="I17" s="1" t="s">
        <v>12</v>
      </c>
    </row>
    <row r="18" spans="1:9" x14ac:dyDescent="0.25">
      <c r="E18" s="1" t="s">
        <v>437</v>
      </c>
      <c r="F18" s="1">
        <v>100</v>
      </c>
      <c r="G18">
        <v>110.220348</v>
      </c>
      <c r="H18">
        <v>40.696339999999999</v>
      </c>
      <c r="I18" s="1" t="s">
        <v>12</v>
      </c>
    </row>
    <row r="19" spans="1:9" s="19" customFormat="1" x14ac:dyDescent="0.25">
      <c r="A19" s="19" t="s">
        <v>458</v>
      </c>
      <c r="B19" s="19" t="s">
        <v>370</v>
      </c>
      <c r="C19" s="20">
        <f>F20</f>
        <v>150</v>
      </c>
      <c r="D19" s="19">
        <f t="shared" si="0"/>
        <v>17.123287671232877</v>
      </c>
      <c r="I19" s="23"/>
    </row>
    <row r="20" spans="1:9" x14ac:dyDescent="0.25">
      <c r="E20" s="1" t="s">
        <v>368</v>
      </c>
      <c r="F20" s="1">
        <v>150</v>
      </c>
      <c r="G20">
        <v>116.777986</v>
      </c>
      <c r="H20">
        <v>43.068917999999996</v>
      </c>
      <c r="I20" s="1" t="s">
        <v>31</v>
      </c>
    </row>
    <row r="21" spans="1:9" s="19" customFormat="1" x14ac:dyDescent="0.25">
      <c r="A21" s="19" t="s">
        <v>458</v>
      </c>
      <c r="B21" s="19" t="s">
        <v>55</v>
      </c>
      <c r="C21" s="20">
        <f>F22</f>
        <v>1680</v>
      </c>
      <c r="D21" s="19">
        <f t="shared" si="0"/>
        <v>191.78082191780823</v>
      </c>
      <c r="I21" s="23"/>
    </row>
    <row r="22" spans="1:9" x14ac:dyDescent="0.25">
      <c r="E22" s="1" t="s">
        <v>53</v>
      </c>
      <c r="F22" s="1">
        <v>1680</v>
      </c>
      <c r="G22">
        <v>116.578604</v>
      </c>
      <c r="H22">
        <v>42.210448999999997</v>
      </c>
      <c r="I22" s="1" t="s">
        <v>11</v>
      </c>
    </row>
    <row r="23" spans="1:9" s="19" customFormat="1" x14ac:dyDescent="0.25">
      <c r="A23" s="19" t="s">
        <v>458</v>
      </c>
      <c r="B23" s="19" t="s">
        <v>16</v>
      </c>
      <c r="C23" s="20">
        <f>SUM(F24:F40)</f>
        <v>11470</v>
      </c>
      <c r="D23" s="19">
        <f t="shared" si="0"/>
        <v>1309.3607305936073</v>
      </c>
      <c r="I23" s="23"/>
    </row>
    <row r="24" spans="1:9" x14ac:dyDescent="0.25">
      <c r="E24" s="3" t="s">
        <v>13</v>
      </c>
      <c r="F24" s="4">
        <v>3600</v>
      </c>
      <c r="G24">
        <v>109.49015300000001</v>
      </c>
      <c r="H24">
        <v>39.075071000000001</v>
      </c>
      <c r="I24" s="1" t="s">
        <v>11</v>
      </c>
    </row>
    <row r="25" spans="1:9" x14ac:dyDescent="0.25">
      <c r="E25" s="3" t="s">
        <v>26</v>
      </c>
      <c r="F25" s="4">
        <v>1800</v>
      </c>
      <c r="G25">
        <v>110.051835</v>
      </c>
      <c r="H25">
        <v>40.278911999999998</v>
      </c>
      <c r="I25" s="1" t="s">
        <v>11</v>
      </c>
    </row>
    <row r="26" spans="1:9" x14ac:dyDescent="0.25">
      <c r="E26" s="10" t="s">
        <v>596</v>
      </c>
      <c r="F26" s="1">
        <v>1200</v>
      </c>
      <c r="G26">
        <v>110.088838</v>
      </c>
      <c r="H26">
        <v>40.327813999999996</v>
      </c>
      <c r="I26" s="1" t="s">
        <v>11</v>
      </c>
    </row>
    <row r="27" spans="1:9" x14ac:dyDescent="0.25">
      <c r="E27" s="1" t="s">
        <v>72</v>
      </c>
      <c r="F27" s="1">
        <v>1000</v>
      </c>
      <c r="G27">
        <v>109.483678</v>
      </c>
      <c r="H27">
        <v>39.089699000000003</v>
      </c>
      <c r="I27" s="1" t="s">
        <v>11</v>
      </c>
    </row>
    <row r="28" spans="1:9" x14ac:dyDescent="0.25">
      <c r="E28" s="1" t="s">
        <v>112</v>
      </c>
      <c r="F28" s="1">
        <v>600</v>
      </c>
      <c r="G28">
        <v>108.97861899999999</v>
      </c>
      <c r="H28">
        <v>38.085754000000001</v>
      </c>
      <c r="I28" s="1" t="s">
        <v>11</v>
      </c>
    </row>
    <row r="29" spans="1:9" x14ac:dyDescent="0.25">
      <c r="E29" s="1" t="s">
        <v>113</v>
      </c>
      <c r="F29" s="1">
        <v>600</v>
      </c>
      <c r="G29">
        <v>110.8511</v>
      </c>
      <c r="H29">
        <v>39.705100000000002</v>
      </c>
      <c r="I29" s="1" t="s">
        <v>11</v>
      </c>
    </row>
    <row r="30" spans="1:9" x14ac:dyDescent="0.25">
      <c r="E30" s="1" t="s">
        <v>206</v>
      </c>
      <c r="F30" s="1">
        <v>400</v>
      </c>
      <c r="G30">
        <v>116.120344</v>
      </c>
      <c r="H30">
        <v>39.570244000000002</v>
      </c>
      <c r="I30" s="1" t="s">
        <v>11</v>
      </c>
    </row>
    <row r="31" spans="1:9" x14ac:dyDescent="0.25">
      <c r="E31" s="1" t="s">
        <v>232</v>
      </c>
      <c r="F31" s="1">
        <v>350</v>
      </c>
      <c r="G31">
        <v>108.974473</v>
      </c>
      <c r="H31">
        <v>39.270619000000003</v>
      </c>
      <c r="I31" s="1" t="s">
        <v>31</v>
      </c>
    </row>
    <row r="32" spans="1:9" x14ac:dyDescent="0.25">
      <c r="B32" s="5"/>
      <c r="E32" s="1" t="s">
        <v>249</v>
      </c>
      <c r="F32" s="1">
        <v>300</v>
      </c>
      <c r="G32">
        <v>109.97804600000001</v>
      </c>
      <c r="H32">
        <v>39.827624999999998</v>
      </c>
      <c r="I32" s="1" t="s">
        <v>11</v>
      </c>
    </row>
    <row r="33" spans="1:9" x14ac:dyDescent="0.25">
      <c r="E33" s="1" t="s">
        <v>250</v>
      </c>
      <c r="F33" s="1">
        <v>300</v>
      </c>
      <c r="G33">
        <v>116.44916000000001</v>
      </c>
      <c r="H33">
        <v>39.830311999999999</v>
      </c>
      <c r="I33" s="1" t="s">
        <v>11</v>
      </c>
    </row>
    <row r="34" spans="1:9" x14ac:dyDescent="0.25">
      <c r="E34" s="1" t="s">
        <v>251</v>
      </c>
      <c r="F34" s="1">
        <v>300</v>
      </c>
      <c r="G34">
        <v>109.556442</v>
      </c>
      <c r="H34">
        <v>38.898094</v>
      </c>
      <c r="I34" s="1" t="s">
        <v>11</v>
      </c>
    </row>
    <row r="35" spans="1:9" x14ac:dyDescent="0.25">
      <c r="E35" s="1" t="s">
        <v>280</v>
      </c>
      <c r="F35" s="1">
        <v>300</v>
      </c>
      <c r="G35">
        <v>109.24682799999999</v>
      </c>
      <c r="H35">
        <v>38.633344999999998</v>
      </c>
      <c r="I35" s="1" t="s">
        <v>11</v>
      </c>
    </row>
    <row r="36" spans="1:9" x14ac:dyDescent="0.25">
      <c r="E36" s="1" t="s">
        <v>312</v>
      </c>
      <c r="F36" s="1">
        <v>200</v>
      </c>
      <c r="G36">
        <v>108.72977299999999</v>
      </c>
      <c r="H36">
        <v>40.509562000000003</v>
      </c>
      <c r="I36" s="1" t="s">
        <v>11</v>
      </c>
    </row>
    <row r="37" spans="1:9" x14ac:dyDescent="0.25">
      <c r="E37" s="1" t="s">
        <v>313</v>
      </c>
      <c r="F37" s="1">
        <v>200</v>
      </c>
      <c r="G37">
        <v>110.867251</v>
      </c>
      <c r="H37">
        <v>39.710239999999999</v>
      </c>
      <c r="I37" s="1" t="s">
        <v>11</v>
      </c>
    </row>
    <row r="38" spans="1:9" x14ac:dyDescent="0.25">
      <c r="E38" s="11" t="s">
        <v>396</v>
      </c>
      <c r="F38" s="1">
        <v>120</v>
      </c>
      <c r="G38">
        <v>106.98534600000001</v>
      </c>
      <c r="H38">
        <v>39.397686</v>
      </c>
      <c r="I38" s="1" t="s">
        <v>358</v>
      </c>
    </row>
    <row r="39" spans="1:9" x14ac:dyDescent="0.25">
      <c r="E39" s="1" t="s">
        <v>405</v>
      </c>
      <c r="F39" s="1">
        <v>100</v>
      </c>
      <c r="G39">
        <v>106.820953</v>
      </c>
      <c r="H39">
        <v>39.848233</v>
      </c>
      <c r="I39" s="1" t="s">
        <v>12</v>
      </c>
    </row>
    <row r="40" spans="1:9" x14ac:dyDescent="0.25">
      <c r="E40" s="1" t="s">
        <v>433</v>
      </c>
      <c r="F40" s="1">
        <v>100</v>
      </c>
      <c r="G40">
        <v>110.87329</v>
      </c>
      <c r="H40">
        <v>39.716436000000002</v>
      </c>
      <c r="I40" s="1" t="s">
        <v>11</v>
      </c>
    </row>
    <row r="41" spans="1:9" s="19" customFormat="1" x14ac:dyDescent="0.25">
      <c r="A41" s="19" t="s">
        <v>458</v>
      </c>
      <c r="B41" s="19" t="s">
        <v>25</v>
      </c>
      <c r="C41" s="20">
        <f>SUM(F42:F44)</f>
        <v>3300</v>
      </c>
      <c r="D41" s="19">
        <f t="shared" si="0"/>
        <v>376.71232876712327</v>
      </c>
      <c r="I41" s="23"/>
    </row>
    <row r="42" spans="1:9" x14ac:dyDescent="0.25">
      <c r="E42" s="3" t="s">
        <v>23</v>
      </c>
      <c r="F42" s="4">
        <v>3000</v>
      </c>
      <c r="G42">
        <v>111.322607</v>
      </c>
      <c r="H42">
        <v>40.194606999999998</v>
      </c>
      <c r="I42" s="1" t="s">
        <v>11</v>
      </c>
    </row>
    <row r="43" spans="1:9" x14ac:dyDescent="0.25">
      <c r="E43" s="1" t="s">
        <v>345</v>
      </c>
      <c r="F43" s="1">
        <v>200</v>
      </c>
      <c r="G43">
        <v>111.755207</v>
      </c>
      <c r="H43">
        <v>40.745249999999999</v>
      </c>
      <c r="I43" s="1" t="s">
        <v>31</v>
      </c>
    </row>
    <row r="44" spans="1:9" x14ac:dyDescent="0.25">
      <c r="B44" s="5"/>
      <c r="E44" s="1" t="s">
        <v>436</v>
      </c>
      <c r="F44" s="1">
        <v>100</v>
      </c>
      <c r="G44">
        <v>111.428642</v>
      </c>
      <c r="H44">
        <v>40.176515000000002</v>
      </c>
      <c r="I44" s="1" t="s">
        <v>12</v>
      </c>
    </row>
    <row r="45" spans="1:9" s="19" customFormat="1" x14ac:dyDescent="0.25">
      <c r="A45" s="19" t="s">
        <v>458</v>
      </c>
      <c r="B45" s="19" t="s">
        <v>155</v>
      </c>
      <c r="C45" s="20">
        <f>SUM(F46:F49)</f>
        <v>1700</v>
      </c>
      <c r="D45" s="19">
        <f t="shared" si="0"/>
        <v>194.06392694063928</v>
      </c>
      <c r="I45" s="23"/>
    </row>
    <row r="46" spans="1:9" x14ac:dyDescent="0.25">
      <c r="E46" s="1" t="s">
        <v>153</v>
      </c>
      <c r="F46" s="1">
        <v>600</v>
      </c>
      <c r="G46">
        <v>107.005596</v>
      </c>
      <c r="H46">
        <v>39.198442</v>
      </c>
      <c r="I46" s="1" t="s">
        <v>12</v>
      </c>
    </row>
    <row r="47" spans="1:9" x14ac:dyDescent="0.25">
      <c r="E47" s="1" t="s">
        <v>159</v>
      </c>
      <c r="F47" s="1">
        <v>500</v>
      </c>
      <c r="G47">
        <v>106.846559</v>
      </c>
      <c r="H47">
        <v>39.693243000000002</v>
      </c>
      <c r="I47" s="1" t="s">
        <v>12</v>
      </c>
    </row>
    <row r="48" spans="1:9" x14ac:dyDescent="0.25">
      <c r="E48" s="1" t="s">
        <v>245</v>
      </c>
      <c r="F48" s="1">
        <v>300</v>
      </c>
      <c r="G48">
        <v>106.92631299999999</v>
      </c>
      <c r="H48">
        <v>39.395636000000003</v>
      </c>
      <c r="I48" s="1" t="s">
        <v>12</v>
      </c>
    </row>
    <row r="49" spans="1:9" x14ac:dyDescent="0.25">
      <c r="E49" s="1" t="s">
        <v>253</v>
      </c>
      <c r="F49" s="1">
        <v>300</v>
      </c>
      <c r="G49">
        <v>106.694407</v>
      </c>
      <c r="H49">
        <v>39.462532000000003</v>
      </c>
      <c r="I49" s="1" t="s">
        <v>12</v>
      </c>
    </row>
    <row r="50" spans="1:9" s="19" customFormat="1" x14ac:dyDescent="0.25">
      <c r="A50" s="18" t="s">
        <v>458</v>
      </c>
      <c r="B50" s="21" t="s">
        <v>75</v>
      </c>
      <c r="C50" s="20">
        <f>F51+F52</f>
        <v>1170</v>
      </c>
      <c r="D50" s="19">
        <f t="shared" si="0"/>
        <v>133.56164383561645</v>
      </c>
      <c r="I50" s="23"/>
    </row>
    <row r="51" spans="1:9" x14ac:dyDescent="0.25">
      <c r="A51" s="9"/>
      <c r="B51" s="8"/>
      <c r="E51" s="1" t="s">
        <v>73</v>
      </c>
      <c r="F51" s="1">
        <v>1000</v>
      </c>
      <c r="G51">
        <v>113.762174</v>
      </c>
      <c r="H51">
        <v>40.875605</v>
      </c>
      <c r="I51" s="1" t="s">
        <v>31</v>
      </c>
    </row>
    <row r="52" spans="1:9" x14ac:dyDescent="0.25">
      <c r="E52" s="1" t="s">
        <v>357</v>
      </c>
      <c r="F52" s="1">
        <v>170</v>
      </c>
      <c r="G52">
        <v>113.269625</v>
      </c>
      <c r="H52">
        <v>40.791378000000002</v>
      </c>
      <c r="I52" s="1" t="s">
        <v>358</v>
      </c>
    </row>
    <row r="53" spans="1:9" s="19" customFormat="1" x14ac:dyDescent="0.25">
      <c r="A53" s="18" t="s">
        <v>458</v>
      </c>
      <c r="B53" s="19" t="s">
        <v>392</v>
      </c>
      <c r="C53" s="20">
        <f>F54</f>
        <v>120</v>
      </c>
      <c r="D53" s="19">
        <f t="shared" si="0"/>
        <v>13.698630136986301</v>
      </c>
      <c r="I53" s="23"/>
    </row>
    <row r="54" spans="1:9" x14ac:dyDescent="0.25">
      <c r="A54" s="9"/>
      <c r="D54" s="19"/>
      <c r="E54" s="1" t="s">
        <v>390</v>
      </c>
      <c r="F54" s="1">
        <v>120</v>
      </c>
      <c r="G54">
        <v>108.567465</v>
      </c>
      <c r="H54">
        <v>41.301003000000001</v>
      </c>
      <c r="I54" s="1" t="s">
        <v>12</v>
      </c>
    </row>
    <row r="55" spans="1:9" s="19" customFormat="1" x14ac:dyDescent="0.25">
      <c r="A55" s="19" t="s">
        <v>459</v>
      </c>
      <c r="B55" s="19" t="s">
        <v>128</v>
      </c>
      <c r="C55" s="20">
        <v>600</v>
      </c>
      <c r="D55" s="19">
        <f t="shared" si="0"/>
        <v>68.493150684931507</v>
      </c>
      <c r="I55" s="23"/>
    </row>
    <row r="56" spans="1:9" x14ac:dyDescent="0.25">
      <c r="D56" s="19"/>
      <c r="E56" s="1" t="s">
        <v>126</v>
      </c>
      <c r="F56" s="1">
        <v>600</v>
      </c>
      <c r="G56">
        <v>107.274739</v>
      </c>
      <c r="H56">
        <v>34.460065</v>
      </c>
      <c r="I56" s="1" t="s">
        <v>11</v>
      </c>
    </row>
    <row r="57" spans="1:9" s="19" customFormat="1" x14ac:dyDescent="0.25">
      <c r="A57" s="19" t="s">
        <v>459</v>
      </c>
      <c r="B57" s="19" t="s">
        <v>29</v>
      </c>
      <c r="C57" s="20">
        <f>SUM(F58:F62)</f>
        <v>4400</v>
      </c>
      <c r="D57" s="19">
        <f t="shared" si="0"/>
        <v>502.28310502283102</v>
      </c>
      <c r="I57" s="23"/>
    </row>
    <row r="58" spans="1:9" x14ac:dyDescent="0.25">
      <c r="E58" s="1" t="s">
        <v>129</v>
      </c>
      <c r="F58" s="1">
        <v>600</v>
      </c>
      <c r="G58">
        <v>109.722219</v>
      </c>
      <c r="H58">
        <v>34.470492</v>
      </c>
      <c r="I58" s="1" t="s">
        <v>11</v>
      </c>
    </row>
    <row r="59" spans="1:9" x14ac:dyDescent="0.25">
      <c r="E59" s="1" t="s">
        <v>427</v>
      </c>
      <c r="F59" s="1">
        <v>1900</v>
      </c>
      <c r="G59">
        <v>110.488249</v>
      </c>
      <c r="H59">
        <v>35.562545999999998</v>
      </c>
      <c r="I59" s="10" t="s">
        <v>582</v>
      </c>
    </row>
    <row r="60" spans="1:9" x14ac:dyDescent="0.25">
      <c r="C60" s="17"/>
      <c r="E60" s="3" t="s">
        <v>27</v>
      </c>
      <c r="F60" s="4">
        <v>1800</v>
      </c>
      <c r="G60">
        <v>109.722082</v>
      </c>
      <c r="H60">
        <v>34.908427000000003</v>
      </c>
      <c r="I60" s="1" t="s">
        <v>11</v>
      </c>
    </row>
    <row r="61" spans="1:9" s="19" customFormat="1" x14ac:dyDescent="0.25">
      <c r="A61" s="19" t="s">
        <v>459</v>
      </c>
      <c r="B61" s="19" t="s">
        <v>132</v>
      </c>
      <c r="C61" s="22">
        <f>SUM(F62:F64)</f>
        <v>1000</v>
      </c>
      <c r="D61" s="19">
        <f t="shared" si="0"/>
        <v>114.15525114155251</v>
      </c>
      <c r="I61" s="23"/>
    </row>
    <row r="62" spans="1:9" x14ac:dyDescent="0.25">
      <c r="C62" s="17"/>
      <c r="E62" s="1" t="s">
        <v>426</v>
      </c>
      <c r="F62" s="1">
        <v>100</v>
      </c>
      <c r="G62">
        <v>108.780108</v>
      </c>
      <c r="H62">
        <v>34.369028999999998</v>
      </c>
      <c r="I62" s="1" t="s">
        <v>31</v>
      </c>
    </row>
    <row r="63" spans="1:9" x14ac:dyDescent="0.25">
      <c r="C63" s="17"/>
      <c r="E63" s="1" t="s">
        <v>273</v>
      </c>
      <c r="F63" s="1">
        <v>300</v>
      </c>
      <c r="G63">
        <v>108.51497000000001</v>
      </c>
      <c r="H63">
        <v>34.284771999999997</v>
      </c>
      <c r="I63" s="1" t="s">
        <v>11</v>
      </c>
    </row>
    <row r="64" spans="1:9" x14ac:dyDescent="0.25">
      <c r="E64" s="1" t="s">
        <v>130</v>
      </c>
      <c r="F64" s="1">
        <v>600</v>
      </c>
      <c r="G64">
        <v>107.76687200000001</v>
      </c>
      <c r="H64">
        <v>35.214495999999997</v>
      </c>
      <c r="I64" s="1" t="s">
        <v>11</v>
      </c>
    </row>
    <row r="65" spans="1:9" s="19" customFormat="1" x14ac:dyDescent="0.25">
      <c r="A65" s="19" t="s">
        <v>459</v>
      </c>
      <c r="B65" s="19" t="s">
        <v>276</v>
      </c>
      <c r="C65" s="20">
        <f>SUM(F66:F68)</f>
        <v>2300</v>
      </c>
      <c r="D65" s="19">
        <f t="shared" si="0"/>
        <v>262.5570776255708</v>
      </c>
      <c r="I65" s="23"/>
    </row>
    <row r="66" spans="1:9" x14ac:dyDescent="0.25">
      <c r="E66" s="1" t="s">
        <v>333</v>
      </c>
      <c r="F66" s="1">
        <v>200</v>
      </c>
      <c r="G66">
        <v>109.00982999999999</v>
      </c>
      <c r="H66">
        <v>34.885829000000001</v>
      </c>
      <c r="I66" s="1" t="s">
        <v>12</v>
      </c>
    </row>
    <row r="67" spans="1:9" x14ac:dyDescent="0.25">
      <c r="E67" s="1" t="s">
        <v>274</v>
      </c>
      <c r="F67" s="1">
        <v>300</v>
      </c>
      <c r="G67">
        <v>109.066722</v>
      </c>
      <c r="H67">
        <v>35.621321999999999</v>
      </c>
      <c r="I67" s="1" t="s">
        <v>12</v>
      </c>
    </row>
    <row r="68" spans="1:9" x14ac:dyDescent="0.25">
      <c r="E68" s="3" t="s">
        <v>30</v>
      </c>
      <c r="F68" s="1">
        <v>1800</v>
      </c>
      <c r="G68">
        <v>109.381309</v>
      </c>
      <c r="H68">
        <v>35.922091000000002</v>
      </c>
    </row>
    <row r="69" spans="1:9" s="19" customFormat="1" x14ac:dyDescent="0.25">
      <c r="A69" s="19" t="s">
        <v>459</v>
      </c>
      <c r="B69" s="19" t="s">
        <v>20</v>
      </c>
      <c r="C69" s="20">
        <f>SUM(F70:F78)</f>
        <v>10460</v>
      </c>
      <c r="D69" s="19">
        <f t="shared" si="0"/>
        <v>1194.0639269406392</v>
      </c>
      <c r="I69" s="23"/>
    </row>
    <row r="70" spans="1:9" x14ac:dyDescent="0.25">
      <c r="E70" s="1" t="s">
        <v>33</v>
      </c>
      <c r="F70" s="1">
        <v>1800</v>
      </c>
      <c r="G70">
        <v>109.53931300000001</v>
      </c>
      <c r="H70">
        <v>38.152078000000003</v>
      </c>
      <c r="I70" s="1" t="s">
        <v>11</v>
      </c>
    </row>
    <row r="71" spans="1:9" x14ac:dyDescent="0.25">
      <c r="E71" s="1" t="s">
        <v>68</v>
      </c>
      <c r="F71" s="1">
        <v>1200</v>
      </c>
      <c r="G71">
        <v>109.488258</v>
      </c>
      <c r="H71">
        <v>38.222279999999998</v>
      </c>
      <c r="I71" s="1" t="s">
        <v>11</v>
      </c>
    </row>
    <row r="72" spans="1:9" x14ac:dyDescent="0.25">
      <c r="E72" s="3" t="s">
        <v>17</v>
      </c>
      <c r="F72" s="4">
        <v>3600</v>
      </c>
      <c r="G72">
        <v>108.926828</v>
      </c>
      <c r="H72">
        <v>37.648330000000001</v>
      </c>
      <c r="I72" s="1" t="s">
        <v>11</v>
      </c>
    </row>
    <row r="73" spans="1:9" x14ac:dyDescent="0.25">
      <c r="E73" s="1" t="s">
        <v>277</v>
      </c>
      <c r="F73" s="1">
        <v>300</v>
      </c>
      <c r="G73">
        <v>109.595826</v>
      </c>
      <c r="H73">
        <v>38.152368000000003</v>
      </c>
      <c r="I73" s="1" t="s">
        <v>11</v>
      </c>
    </row>
    <row r="74" spans="1:9" x14ac:dyDescent="0.25">
      <c r="E74" s="1" t="s">
        <v>125</v>
      </c>
      <c r="F74" s="1">
        <v>600</v>
      </c>
      <c r="G74">
        <v>110.178175</v>
      </c>
      <c r="H74">
        <v>38.745865000000002</v>
      </c>
      <c r="I74" s="1" t="s">
        <v>11</v>
      </c>
    </row>
    <row r="75" spans="1:9" x14ac:dyDescent="0.25">
      <c r="E75" s="1" t="s">
        <v>292</v>
      </c>
      <c r="F75" s="1">
        <v>260</v>
      </c>
      <c r="G75">
        <v>110.209321</v>
      </c>
      <c r="H75">
        <v>38.726962999999998</v>
      </c>
      <c r="I75" s="1" t="s">
        <v>11</v>
      </c>
    </row>
    <row r="76" spans="1:9" x14ac:dyDescent="0.25">
      <c r="E76" s="1" t="s">
        <v>105</v>
      </c>
      <c r="F76" s="1">
        <v>700</v>
      </c>
      <c r="G76">
        <v>109.608587</v>
      </c>
      <c r="H76">
        <v>38.147444999999998</v>
      </c>
      <c r="I76" s="1" t="s">
        <v>11</v>
      </c>
    </row>
    <row r="77" spans="1:9" x14ac:dyDescent="0.25">
      <c r="E77" s="3" t="s">
        <v>32</v>
      </c>
      <c r="F77" s="4">
        <v>1800</v>
      </c>
      <c r="G77">
        <v>109.749251</v>
      </c>
      <c r="H77">
        <v>38.235436</v>
      </c>
      <c r="I77" s="1" t="s">
        <v>11</v>
      </c>
    </row>
    <row r="78" spans="1:9" x14ac:dyDescent="0.25">
      <c r="E78" s="1" t="s">
        <v>334</v>
      </c>
      <c r="F78" s="1">
        <v>200</v>
      </c>
      <c r="G78">
        <v>111.161473</v>
      </c>
      <c r="H78">
        <v>39.256475999999999</v>
      </c>
      <c r="I78" s="1" t="s">
        <v>11</v>
      </c>
    </row>
    <row r="79" spans="1:9" s="19" customFormat="1" x14ac:dyDescent="0.25">
      <c r="A79" s="18" t="s">
        <v>462</v>
      </c>
      <c r="B79" s="19" t="s">
        <v>364</v>
      </c>
      <c r="C79" s="20">
        <f>F80</f>
        <v>160</v>
      </c>
      <c r="D79" s="19">
        <f t="shared" ref="D79:D139" si="1">C79*1000/8760</f>
        <v>18.264840182648403</v>
      </c>
      <c r="I79" s="23"/>
    </row>
    <row r="80" spans="1:9" x14ac:dyDescent="0.25">
      <c r="A80" s="9"/>
      <c r="E80" s="10" t="s">
        <v>583</v>
      </c>
      <c r="F80" s="1">
        <v>160</v>
      </c>
      <c r="G80">
        <v>116.99749799999999</v>
      </c>
      <c r="H80">
        <v>30.539126</v>
      </c>
      <c r="I80" s="1" t="s">
        <v>11</v>
      </c>
    </row>
    <row r="81" spans="1:9" s="19" customFormat="1" x14ac:dyDescent="0.25">
      <c r="A81" s="18" t="s">
        <v>462</v>
      </c>
      <c r="B81" s="19" t="s">
        <v>373</v>
      </c>
      <c r="C81" s="20">
        <f>F82</f>
        <v>150</v>
      </c>
      <c r="D81" s="19">
        <f t="shared" si="1"/>
        <v>17.123287671232877</v>
      </c>
      <c r="I81" s="23"/>
    </row>
    <row r="82" spans="1:9" x14ac:dyDescent="0.25">
      <c r="E82" s="1" t="s">
        <v>371</v>
      </c>
      <c r="F82" s="1">
        <v>150</v>
      </c>
      <c r="G82">
        <v>117.27879</v>
      </c>
      <c r="H82">
        <v>32.579821000000003</v>
      </c>
      <c r="I82" s="1" t="s">
        <v>11</v>
      </c>
    </row>
    <row r="83" spans="1:9" s="19" customFormat="1" x14ac:dyDescent="0.25">
      <c r="A83" s="18" t="s">
        <v>462</v>
      </c>
      <c r="B83" s="19" t="s">
        <v>58</v>
      </c>
      <c r="C83" s="20">
        <f>F84+F85</f>
        <v>2000</v>
      </c>
      <c r="D83" s="19">
        <f t="shared" si="1"/>
        <v>228.31050228310502</v>
      </c>
      <c r="I83" s="23"/>
    </row>
    <row r="84" spans="1:9" x14ac:dyDescent="0.25">
      <c r="E84" s="1" t="s">
        <v>56</v>
      </c>
      <c r="F84" s="1">
        <v>1400</v>
      </c>
      <c r="G84">
        <v>115.86363299999999</v>
      </c>
      <c r="H84">
        <v>32.926949999999998</v>
      </c>
      <c r="I84" s="1" t="s">
        <v>11</v>
      </c>
    </row>
    <row r="85" spans="1:9" x14ac:dyDescent="0.25">
      <c r="E85" s="1" t="s">
        <v>114</v>
      </c>
      <c r="F85" s="1">
        <v>600</v>
      </c>
      <c r="G85">
        <v>115.288157</v>
      </c>
      <c r="H85">
        <v>33.060924</v>
      </c>
      <c r="I85" s="1" t="s">
        <v>11</v>
      </c>
    </row>
    <row r="86" spans="1:9" s="19" customFormat="1" x14ac:dyDescent="0.25">
      <c r="A86" s="18" t="s">
        <v>462</v>
      </c>
      <c r="B86" s="19" t="s">
        <v>416</v>
      </c>
      <c r="C86" s="20">
        <f>F87</f>
        <v>100</v>
      </c>
      <c r="D86" s="19">
        <f t="shared" si="1"/>
        <v>11.415525114155251</v>
      </c>
      <c r="I86" s="23"/>
    </row>
    <row r="87" spans="1:9" x14ac:dyDescent="0.25">
      <c r="E87" s="1" t="s">
        <v>414</v>
      </c>
      <c r="F87" s="1">
        <v>100</v>
      </c>
      <c r="G87">
        <v>117.515131</v>
      </c>
      <c r="H87">
        <v>31.776990999999999</v>
      </c>
      <c r="I87" s="1" t="s">
        <v>11</v>
      </c>
    </row>
    <row r="88" spans="1:9" s="19" customFormat="1" x14ac:dyDescent="0.25">
      <c r="A88" s="18" t="s">
        <v>462</v>
      </c>
      <c r="B88" s="18" t="s">
        <v>584</v>
      </c>
      <c r="C88" s="20">
        <f>F89</f>
        <v>900</v>
      </c>
      <c r="D88" s="19">
        <f t="shared" si="1"/>
        <v>102.73972602739725</v>
      </c>
      <c r="I88" s="23"/>
    </row>
    <row r="89" spans="1:9" x14ac:dyDescent="0.25">
      <c r="A89" s="9"/>
      <c r="B89" s="9"/>
      <c r="E89" s="1" t="s">
        <v>85</v>
      </c>
      <c r="F89" s="1">
        <v>900</v>
      </c>
      <c r="G89">
        <v>116.58695</v>
      </c>
      <c r="H89">
        <v>33.609698999999999</v>
      </c>
      <c r="I89" s="1" t="s">
        <v>577</v>
      </c>
    </row>
    <row r="90" spans="1:9" s="19" customFormat="1" x14ac:dyDescent="0.25">
      <c r="A90" s="18" t="s">
        <v>462</v>
      </c>
      <c r="B90" s="19" t="s">
        <v>37</v>
      </c>
      <c r="C90" s="20">
        <f>F91</f>
        <v>1800</v>
      </c>
      <c r="D90" s="19">
        <f t="shared" si="1"/>
        <v>205.47945205479451</v>
      </c>
      <c r="I90" s="23"/>
    </row>
    <row r="91" spans="1:9" x14ac:dyDescent="0.25">
      <c r="A91" s="9"/>
      <c r="E91" s="1" t="s">
        <v>34</v>
      </c>
      <c r="F91" s="1">
        <v>1800</v>
      </c>
      <c r="G91">
        <v>116.879786</v>
      </c>
      <c r="H91">
        <v>32.694851</v>
      </c>
      <c r="I91" s="1" t="s">
        <v>11</v>
      </c>
    </row>
    <row r="92" spans="1:9" s="19" customFormat="1" x14ac:dyDescent="0.25">
      <c r="A92" s="18" t="s">
        <v>462</v>
      </c>
      <c r="B92" s="19" t="s">
        <v>164</v>
      </c>
      <c r="C92" s="20">
        <f>F93</f>
        <v>500</v>
      </c>
      <c r="D92" s="19">
        <f t="shared" si="1"/>
        <v>57.077625570776256</v>
      </c>
      <c r="I92" s="23"/>
    </row>
    <row r="93" spans="1:9" x14ac:dyDescent="0.25">
      <c r="E93" s="1" t="s">
        <v>162</v>
      </c>
      <c r="F93" s="1">
        <v>500</v>
      </c>
      <c r="G93">
        <v>118.330883</v>
      </c>
      <c r="H93">
        <v>31.369512</v>
      </c>
      <c r="I93" s="1" t="s">
        <v>11</v>
      </c>
    </row>
    <row r="94" spans="1:9" s="19" customFormat="1" x14ac:dyDescent="0.25">
      <c r="A94" s="18" t="s">
        <v>522</v>
      </c>
      <c r="B94" s="19" t="s">
        <v>340</v>
      </c>
      <c r="C94" s="20">
        <f>F95+F96</f>
        <v>400</v>
      </c>
      <c r="D94" s="19">
        <f t="shared" si="1"/>
        <v>45.662100456621005</v>
      </c>
      <c r="I94" s="23"/>
    </row>
    <row r="95" spans="1:9" x14ac:dyDescent="0.25">
      <c r="A95" s="9"/>
      <c r="E95" s="1" t="s">
        <v>338</v>
      </c>
      <c r="F95" s="1">
        <v>200</v>
      </c>
      <c r="G95">
        <v>83.096762999999996</v>
      </c>
      <c r="H95">
        <v>41.741458999999999</v>
      </c>
      <c r="I95" s="1" t="s">
        <v>31</v>
      </c>
    </row>
    <row r="96" spans="1:9" x14ac:dyDescent="0.25">
      <c r="A96" s="9"/>
      <c r="E96" s="1" t="s">
        <v>341</v>
      </c>
      <c r="F96" s="1">
        <v>200</v>
      </c>
      <c r="G96">
        <v>81.790930000000003</v>
      </c>
      <c r="H96">
        <v>41.83981</v>
      </c>
      <c r="I96" s="1" t="s">
        <v>12</v>
      </c>
    </row>
    <row r="97" spans="1:9" s="19" customFormat="1" x14ac:dyDescent="0.25">
      <c r="A97" s="19" t="s">
        <v>464</v>
      </c>
      <c r="B97" s="19" t="s">
        <v>71</v>
      </c>
      <c r="C97" s="20">
        <f>F98</f>
        <v>1200</v>
      </c>
      <c r="D97" s="19">
        <f t="shared" si="1"/>
        <v>136.98630136986301</v>
      </c>
      <c r="I97" s="23"/>
    </row>
    <row r="98" spans="1:9" x14ac:dyDescent="0.25">
      <c r="E98" s="1" t="s">
        <v>69</v>
      </c>
      <c r="F98" s="1">
        <v>1200</v>
      </c>
      <c r="G98">
        <v>94.983806000000001</v>
      </c>
      <c r="H98">
        <v>43.714410999999998</v>
      </c>
      <c r="I98" s="1" t="s">
        <v>11</v>
      </c>
    </row>
    <row r="99" spans="1:9" s="19" customFormat="1" x14ac:dyDescent="0.25">
      <c r="A99" s="19" t="s">
        <v>464</v>
      </c>
      <c r="B99" s="19" t="s">
        <v>337</v>
      </c>
      <c r="C99" s="20">
        <f>F100</f>
        <v>200</v>
      </c>
      <c r="D99" s="19">
        <f t="shared" si="1"/>
        <v>22.831050228310502</v>
      </c>
      <c r="I99" s="23"/>
    </row>
    <row r="100" spans="1:9" x14ac:dyDescent="0.25">
      <c r="E100" s="1" t="s">
        <v>335</v>
      </c>
      <c r="F100" s="1">
        <v>200</v>
      </c>
      <c r="G100">
        <v>89.085133999999996</v>
      </c>
      <c r="H100">
        <v>44.716245000000001</v>
      </c>
      <c r="I100" s="1" t="s">
        <v>11</v>
      </c>
    </row>
    <row r="101" spans="1:9" s="19" customFormat="1" x14ac:dyDescent="0.25">
      <c r="A101" s="19" t="s">
        <v>464</v>
      </c>
      <c r="B101" s="19" t="s">
        <v>441</v>
      </c>
      <c r="C101" s="20">
        <f>F102</f>
        <v>85</v>
      </c>
      <c r="D101" s="19">
        <f t="shared" si="1"/>
        <v>9.7031963470319642</v>
      </c>
      <c r="I101" s="23"/>
    </row>
    <row r="102" spans="1:9" x14ac:dyDescent="0.25">
      <c r="E102" s="1" t="s">
        <v>439</v>
      </c>
      <c r="F102" s="1">
        <v>85</v>
      </c>
      <c r="G102">
        <v>86.188618000000005</v>
      </c>
      <c r="H102">
        <v>41.736575999999999</v>
      </c>
      <c r="I102" s="1" t="s">
        <v>358</v>
      </c>
    </row>
    <row r="103" spans="1:9" s="19" customFormat="1" x14ac:dyDescent="0.25">
      <c r="A103" s="19" t="s">
        <v>464</v>
      </c>
      <c r="B103" s="19" t="s">
        <v>193</v>
      </c>
      <c r="C103" s="20">
        <f>F104</f>
        <v>480</v>
      </c>
      <c r="D103" s="19">
        <f t="shared" si="1"/>
        <v>54.794520547945204</v>
      </c>
      <c r="I103" s="23"/>
    </row>
    <row r="104" spans="1:9" x14ac:dyDescent="0.25">
      <c r="E104" s="1" t="s">
        <v>191</v>
      </c>
      <c r="F104" s="1">
        <v>480</v>
      </c>
      <c r="G104">
        <v>84.103065000000001</v>
      </c>
      <c r="H104">
        <v>41.851804999999999</v>
      </c>
      <c r="I104" s="10" t="s">
        <v>585</v>
      </c>
    </row>
    <row r="105" spans="1:9" s="19" customFormat="1" x14ac:dyDescent="0.25">
      <c r="A105" s="19" t="s">
        <v>464</v>
      </c>
      <c r="B105" s="19" t="s">
        <v>380</v>
      </c>
      <c r="C105" s="20">
        <f>F106</f>
        <v>150</v>
      </c>
      <c r="D105" s="19">
        <f t="shared" si="1"/>
        <v>17.123287671232877</v>
      </c>
      <c r="I105" s="23"/>
    </row>
    <row r="106" spans="1:9" x14ac:dyDescent="0.25">
      <c r="E106" s="1" t="s">
        <v>378</v>
      </c>
      <c r="F106" s="1">
        <v>150</v>
      </c>
      <c r="G106">
        <v>86.376277000000002</v>
      </c>
      <c r="H106">
        <v>44.217427999999998</v>
      </c>
      <c r="I106" s="1" t="s">
        <v>11</v>
      </c>
    </row>
    <row r="107" spans="1:9" s="19" customFormat="1" x14ac:dyDescent="0.25">
      <c r="A107" s="19" t="s">
        <v>464</v>
      </c>
      <c r="B107" s="19" t="s">
        <v>140</v>
      </c>
      <c r="C107" s="20">
        <f>F108</f>
        <v>600</v>
      </c>
      <c r="D107" s="19">
        <f t="shared" si="1"/>
        <v>68.493150684931507</v>
      </c>
      <c r="I107" s="23"/>
    </row>
    <row r="108" spans="1:9" x14ac:dyDescent="0.25">
      <c r="E108" s="1" t="s">
        <v>138</v>
      </c>
      <c r="F108" s="1">
        <v>600</v>
      </c>
      <c r="G108">
        <v>86.043845000000005</v>
      </c>
      <c r="H108">
        <v>44.370539000000001</v>
      </c>
      <c r="I108" s="1" t="s">
        <v>11</v>
      </c>
    </row>
    <row r="109" spans="1:9" s="19" customFormat="1" x14ac:dyDescent="0.25">
      <c r="A109" s="19" t="s">
        <v>464</v>
      </c>
      <c r="B109" s="24" t="s">
        <v>44</v>
      </c>
      <c r="C109" s="20">
        <f>F110+F111</f>
        <v>2100</v>
      </c>
      <c r="D109" s="19">
        <f t="shared" si="1"/>
        <v>239.72602739726028</v>
      </c>
      <c r="I109" s="23"/>
    </row>
    <row r="110" spans="1:9" x14ac:dyDescent="0.25">
      <c r="B110" s="5"/>
      <c r="E110" s="1" t="s">
        <v>41</v>
      </c>
      <c r="F110" s="1">
        <v>1800</v>
      </c>
      <c r="G110">
        <v>116.398005</v>
      </c>
      <c r="H110">
        <v>39.950980000000001</v>
      </c>
      <c r="I110" s="1" t="s">
        <v>11</v>
      </c>
    </row>
    <row r="111" spans="1:9" x14ac:dyDescent="0.25">
      <c r="E111" s="1" t="s">
        <v>279</v>
      </c>
      <c r="F111" s="1">
        <v>300</v>
      </c>
      <c r="G111">
        <v>87.783529999999999</v>
      </c>
      <c r="H111">
        <v>44.155045999999999</v>
      </c>
      <c r="I111" s="1" t="s">
        <v>11</v>
      </c>
    </row>
    <row r="112" spans="1:9" s="19" customFormat="1" x14ac:dyDescent="0.25">
      <c r="A112" s="19" t="s">
        <v>464</v>
      </c>
      <c r="B112" s="19" t="s">
        <v>175</v>
      </c>
      <c r="C112" s="20">
        <f>F113</f>
        <v>500</v>
      </c>
      <c r="D112" s="19">
        <f t="shared" si="1"/>
        <v>57.077625570776256</v>
      </c>
      <c r="I112" s="23"/>
    </row>
    <row r="113" spans="1:9" x14ac:dyDescent="0.25">
      <c r="E113" s="1" t="s">
        <v>173</v>
      </c>
      <c r="F113" s="1">
        <v>500</v>
      </c>
      <c r="G113">
        <v>87.689891000000003</v>
      </c>
      <c r="H113">
        <v>44.360219000000001</v>
      </c>
      <c r="I113" s="1" t="s">
        <v>11</v>
      </c>
    </row>
    <row r="114" spans="1:9" s="19" customFormat="1" x14ac:dyDescent="0.25">
      <c r="A114" s="18" t="s">
        <v>541</v>
      </c>
      <c r="B114" s="19" t="s">
        <v>48</v>
      </c>
      <c r="C114" s="20">
        <v>1800</v>
      </c>
      <c r="D114" s="19">
        <f t="shared" si="1"/>
        <v>205.47945205479451</v>
      </c>
      <c r="I114" s="23"/>
    </row>
    <row r="115" spans="1:9" x14ac:dyDescent="0.25">
      <c r="E115" s="1" t="s">
        <v>45</v>
      </c>
      <c r="F115" s="1">
        <v>1800</v>
      </c>
      <c r="G115">
        <v>108.613545</v>
      </c>
      <c r="H115">
        <v>21.718316999999999</v>
      </c>
      <c r="I115" s="1" t="s">
        <v>11</v>
      </c>
    </row>
    <row r="116" spans="1:9" s="19" customFormat="1" x14ac:dyDescent="0.25">
      <c r="A116" s="18" t="s">
        <v>529</v>
      </c>
      <c r="B116" s="19" t="s">
        <v>52</v>
      </c>
      <c r="C116" s="31">
        <f>F117+F118</f>
        <v>1900</v>
      </c>
      <c r="D116" s="19">
        <f t="shared" si="1"/>
        <v>216.89497716894977</v>
      </c>
      <c r="I116" s="23"/>
    </row>
    <row r="117" spans="1:9" x14ac:dyDescent="0.25">
      <c r="E117" s="1" t="s">
        <v>49</v>
      </c>
      <c r="F117" s="1">
        <v>1700</v>
      </c>
      <c r="G117">
        <v>116.23763700000001</v>
      </c>
      <c r="H117">
        <v>37.465586000000002</v>
      </c>
      <c r="I117" s="1" t="s">
        <v>11</v>
      </c>
    </row>
    <row r="118" spans="1:9" x14ac:dyDescent="0.25">
      <c r="E118" s="1" t="s">
        <v>319</v>
      </c>
      <c r="F118" s="1">
        <v>200</v>
      </c>
      <c r="G118">
        <v>116.45261000000001</v>
      </c>
      <c r="H118">
        <v>37.186729</v>
      </c>
      <c r="I118" s="1" t="s">
        <v>11</v>
      </c>
    </row>
    <row r="119" spans="1:9" s="19" customFormat="1" x14ac:dyDescent="0.25">
      <c r="A119" s="18" t="s">
        <v>529</v>
      </c>
      <c r="B119" s="19" t="s">
        <v>377</v>
      </c>
      <c r="C119" s="20">
        <f>F120</f>
        <v>150</v>
      </c>
      <c r="D119" s="19">
        <f t="shared" si="1"/>
        <v>17.123287671232877</v>
      </c>
      <c r="I119" s="23"/>
    </row>
    <row r="120" spans="1:9" x14ac:dyDescent="0.25">
      <c r="A120" s="9"/>
      <c r="E120" s="1" t="s">
        <v>375</v>
      </c>
      <c r="F120" s="1">
        <v>150</v>
      </c>
      <c r="G120">
        <v>115.997443</v>
      </c>
      <c r="H120">
        <v>35.348512999999997</v>
      </c>
      <c r="I120" s="1" t="s">
        <v>12</v>
      </c>
    </row>
    <row r="121" spans="1:9" s="19" customFormat="1" x14ac:dyDescent="0.25">
      <c r="A121" s="19" t="s">
        <v>467</v>
      </c>
      <c r="B121" s="19" t="s">
        <v>120</v>
      </c>
      <c r="C121" s="20">
        <f>F122</f>
        <v>600</v>
      </c>
      <c r="D121" s="19">
        <f t="shared" si="1"/>
        <v>68.493150684931507</v>
      </c>
      <c r="I121" s="23"/>
    </row>
    <row r="122" spans="1:9" x14ac:dyDescent="0.25">
      <c r="E122" s="1" t="s">
        <v>118</v>
      </c>
      <c r="F122" s="1">
        <v>600</v>
      </c>
      <c r="G122">
        <v>117.473403</v>
      </c>
      <c r="H122">
        <v>36.892052</v>
      </c>
      <c r="I122" s="1" t="s">
        <v>11</v>
      </c>
    </row>
    <row r="123" spans="1:9" s="19" customFormat="1" x14ac:dyDescent="0.25">
      <c r="A123" s="18" t="s">
        <v>529</v>
      </c>
      <c r="B123" s="19" t="s">
        <v>108</v>
      </c>
      <c r="C123" s="20">
        <f>SUM(F124:F127)</f>
        <v>1270</v>
      </c>
      <c r="D123" s="19">
        <f t="shared" si="1"/>
        <v>144.97716894977168</v>
      </c>
      <c r="I123" s="23"/>
    </row>
    <row r="124" spans="1:9" x14ac:dyDescent="0.25">
      <c r="A124" s="9"/>
      <c r="E124" s="1" t="s">
        <v>106</v>
      </c>
      <c r="F124" s="1">
        <v>670</v>
      </c>
      <c r="G124">
        <v>116.94595099999999</v>
      </c>
      <c r="H124">
        <v>35.450712000000003</v>
      </c>
      <c r="I124" s="1" t="s">
        <v>11</v>
      </c>
    </row>
    <row r="125" spans="1:9" x14ac:dyDescent="0.25">
      <c r="A125" s="9"/>
      <c r="E125" s="1" t="s">
        <v>294</v>
      </c>
      <c r="F125" s="1">
        <v>250</v>
      </c>
      <c r="G125">
        <v>116.82574099999999</v>
      </c>
      <c r="H125">
        <v>35.33464</v>
      </c>
      <c r="I125" s="1" t="s">
        <v>12</v>
      </c>
    </row>
    <row r="126" spans="1:9" x14ac:dyDescent="0.25">
      <c r="A126" s="9"/>
      <c r="E126" s="1" t="s">
        <v>317</v>
      </c>
      <c r="F126" s="1">
        <v>200</v>
      </c>
      <c r="G126">
        <v>116.761087</v>
      </c>
      <c r="H126">
        <v>35.503711000000003</v>
      </c>
      <c r="I126" s="1" t="s">
        <v>12</v>
      </c>
    </row>
    <row r="127" spans="1:9" x14ac:dyDescent="0.25">
      <c r="A127" s="9"/>
      <c r="E127" s="1" t="s">
        <v>384</v>
      </c>
      <c r="F127" s="1">
        <v>150</v>
      </c>
      <c r="G127">
        <v>116.58927300000001</v>
      </c>
      <c r="H127">
        <v>35.079079999999998</v>
      </c>
      <c r="I127" s="1" t="s">
        <v>12</v>
      </c>
    </row>
    <row r="128" spans="1:9" s="19" customFormat="1" x14ac:dyDescent="0.25">
      <c r="A128" s="18" t="s">
        <v>529</v>
      </c>
      <c r="B128" s="19" t="s">
        <v>81</v>
      </c>
      <c r="C128" s="20">
        <f>F129</f>
        <v>950</v>
      </c>
      <c r="D128" s="19">
        <f t="shared" si="1"/>
        <v>108.44748858447488</v>
      </c>
      <c r="I128" s="23"/>
    </row>
    <row r="129" spans="1:9" x14ac:dyDescent="0.25">
      <c r="E129" s="1" t="s">
        <v>79</v>
      </c>
      <c r="F129" s="1">
        <v>950</v>
      </c>
      <c r="G129">
        <v>116.165527</v>
      </c>
      <c r="H129">
        <v>36.353907999999997</v>
      </c>
      <c r="I129" s="1" t="s">
        <v>11</v>
      </c>
    </row>
    <row r="130" spans="1:9" s="19" customFormat="1" x14ac:dyDescent="0.25">
      <c r="A130" s="18" t="s">
        <v>529</v>
      </c>
      <c r="B130" s="19" t="s">
        <v>205</v>
      </c>
      <c r="C130" s="20">
        <f>F131</f>
        <v>200</v>
      </c>
      <c r="D130" s="19">
        <f t="shared" si="1"/>
        <v>22.831050228310502</v>
      </c>
      <c r="I130" s="23"/>
    </row>
    <row r="131" spans="1:9" x14ac:dyDescent="0.25">
      <c r="A131" s="9"/>
      <c r="E131" s="1" t="s">
        <v>318</v>
      </c>
      <c r="F131" s="1">
        <v>200</v>
      </c>
      <c r="G131">
        <v>111.342348</v>
      </c>
      <c r="H131">
        <v>35.906616999999997</v>
      </c>
      <c r="I131" s="1" t="s">
        <v>12</v>
      </c>
    </row>
    <row r="132" spans="1:9" s="19" customFormat="1" x14ac:dyDescent="0.25">
      <c r="A132" s="18" t="s">
        <v>529</v>
      </c>
      <c r="B132" s="19" t="s">
        <v>316</v>
      </c>
      <c r="C132" s="20">
        <f>F133</f>
        <v>200</v>
      </c>
      <c r="D132" s="19">
        <f t="shared" si="1"/>
        <v>22.831050228310502</v>
      </c>
      <c r="I132" s="23"/>
    </row>
    <row r="133" spans="1:9" x14ac:dyDescent="0.25">
      <c r="A133" s="9"/>
      <c r="E133" s="1" t="s">
        <v>314</v>
      </c>
      <c r="F133" s="1">
        <v>200</v>
      </c>
      <c r="G133">
        <v>118.32979400000001</v>
      </c>
      <c r="H133">
        <v>34.632617000000003</v>
      </c>
      <c r="I133" s="1" t="s">
        <v>11</v>
      </c>
    </row>
    <row r="134" spans="1:9" s="19" customFormat="1" x14ac:dyDescent="0.25">
      <c r="A134" s="18" t="s">
        <v>529</v>
      </c>
      <c r="B134" s="19" t="s">
        <v>297</v>
      </c>
      <c r="C134" s="20">
        <f>F135+F136</f>
        <v>400</v>
      </c>
      <c r="D134" s="19">
        <f t="shared" si="1"/>
        <v>45.662100456621005</v>
      </c>
      <c r="I134" s="23"/>
    </row>
    <row r="135" spans="1:9" x14ac:dyDescent="0.25">
      <c r="A135" s="9"/>
      <c r="E135" s="1" t="s">
        <v>295</v>
      </c>
      <c r="F135" s="1">
        <v>250</v>
      </c>
      <c r="G135">
        <v>117.30355299999999</v>
      </c>
      <c r="H135">
        <v>35.851039999999998</v>
      </c>
      <c r="I135" s="1" t="s">
        <v>12</v>
      </c>
    </row>
    <row r="136" spans="1:9" x14ac:dyDescent="0.25">
      <c r="A136" s="9"/>
      <c r="E136" s="1" t="s">
        <v>374</v>
      </c>
      <c r="F136" s="1">
        <v>150</v>
      </c>
      <c r="G136">
        <v>117.14405499999999</v>
      </c>
      <c r="H136">
        <v>35.918663000000002</v>
      </c>
      <c r="I136" s="1" t="s">
        <v>12</v>
      </c>
    </row>
    <row r="137" spans="1:9" s="19" customFormat="1" x14ac:dyDescent="0.25">
      <c r="A137" s="18" t="s">
        <v>529</v>
      </c>
      <c r="B137" s="19" t="s">
        <v>100</v>
      </c>
      <c r="C137" s="20">
        <f>F138</f>
        <v>750</v>
      </c>
      <c r="D137" s="19">
        <f t="shared" si="1"/>
        <v>85.61643835616438</v>
      </c>
      <c r="I137" s="23"/>
    </row>
    <row r="138" spans="1:9" x14ac:dyDescent="0.25">
      <c r="A138" s="9"/>
      <c r="E138" s="1" t="s">
        <v>98</v>
      </c>
      <c r="F138" s="1">
        <v>750</v>
      </c>
      <c r="G138">
        <v>119.046847</v>
      </c>
      <c r="H138">
        <v>37.060554000000003</v>
      </c>
      <c r="I138" s="1" t="s">
        <v>11</v>
      </c>
    </row>
    <row r="139" spans="1:9" s="19" customFormat="1" x14ac:dyDescent="0.25">
      <c r="A139" s="18" t="s">
        <v>529</v>
      </c>
      <c r="B139" s="19" t="s">
        <v>117</v>
      </c>
      <c r="C139" s="20">
        <f>F140</f>
        <v>600</v>
      </c>
      <c r="D139" s="19">
        <f t="shared" si="1"/>
        <v>68.493150684931507</v>
      </c>
      <c r="I139" s="23"/>
    </row>
    <row r="140" spans="1:9" x14ac:dyDescent="0.25">
      <c r="A140" s="9"/>
      <c r="E140" s="1" t="s">
        <v>115</v>
      </c>
      <c r="F140" s="1">
        <v>600</v>
      </c>
      <c r="G140">
        <v>121.086991</v>
      </c>
      <c r="H140">
        <v>37.582729999999998</v>
      </c>
      <c r="I140" s="1" t="s">
        <v>11</v>
      </c>
    </row>
    <row r="141" spans="1:9" s="19" customFormat="1" x14ac:dyDescent="0.25">
      <c r="A141" s="18" t="s">
        <v>529</v>
      </c>
      <c r="B141" s="19" t="s">
        <v>84</v>
      </c>
      <c r="C141" s="20">
        <f>SUM(F142:F144)</f>
        <v>1470</v>
      </c>
      <c r="D141" s="19">
        <f t="shared" ref="D141:D204" si="2">C141*1000/8760</f>
        <v>167.8082191780822</v>
      </c>
      <c r="I141" s="23"/>
    </row>
    <row r="142" spans="1:9" x14ac:dyDescent="0.25">
      <c r="A142" s="9"/>
      <c r="E142" s="1" t="s">
        <v>82</v>
      </c>
      <c r="F142" s="1">
        <v>920</v>
      </c>
      <c r="G142">
        <v>117.253787</v>
      </c>
      <c r="H142">
        <v>34.964663000000002</v>
      </c>
      <c r="I142" s="1" t="s">
        <v>11</v>
      </c>
    </row>
    <row r="143" spans="1:9" x14ac:dyDescent="0.25">
      <c r="A143" s="9"/>
      <c r="E143" s="1" t="s">
        <v>258</v>
      </c>
      <c r="F143" s="1">
        <v>300</v>
      </c>
      <c r="G143">
        <v>117.291465</v>
      </c>
      <c r="H143">
        <v>34.983246000000001</v>
      </c>
      <c r="I143" s="1" t="s">
        <v>11</v>
      </c>
    </row>
    <row r="144" spans="1:9" x14ac:dyDescent="0.25">
      <c r="A144" s="9"/>
      <c r="E144" s="1" t="s">
        <v>293</v>
      </c>
      <c r="F144" s="1">
        <v>250</v>
      </c>
      <c r="G144">
        <v>117.03446700000001</v>
      </c>
      <c r="H144">
        <v>34.968913999999998</v>
      </c>
      <c r="I144" s="1" t="s">
        <v>12</v>
      </c>
    </row>
    <row r="145" spans="1:9" s="19" customFormat="1" x14ac:dyDescent="0.25">
      <c r="A145" s="18" t="s">
        <v>529</v>
      </c>
      <c r="B145" s="19" t="s">
        <v>419</v>
      </c>
      <c r="C145" s="20">
        <f>F146</f>
        <v>100</v>
      </c>
      <c r="D145" s="19">
        <f t="shared" si="2"/>
        <v>11.415525114155251</v>
      </c>
      <c r="I145" s="23"/>
    </row>
    <row r="146" spans="1:9" x14ac:dyDescent="0.25">
      <c r="E146" s="1" t="s">
        <v>417</v>
      </c>
      <c r="F146" s="1">
        <v>100</v>
      </c>
      <c r="G146">
        <v>118.29385000000001</v>
      </c>
      <c r="H146">
        <v>36.822949999999999</v>
      </c>
      <c r="I146" s="1" t="s">
        <v>11</v>
      </c>
    </row>
    <row r="147" spans="1:9" s="19" customFormat="1" x14ac:dyDescent="0.25">
      <c r="A147" s="18" t="s">
        <v>523</v>
      </c>
      <c r="B147" s="19" t="s">
        <v>62</v>
      </c>
      <c r="C147" s="20">
        <f>F148</f>
        <v>1400</v>
      </c>
      <c r="D147" s="19">
        <f t="shared" si="2"/>
        <v>159.8173515981735</v>
      </c>
      <c r="I147" s="23"/>
    </row>
    <row r="148" spans="1:9" x14ac:dyDescent="0.25">
      <c r="E148" s="1" t="s">
        <v>59</v>
      </c>
      <c r="F148" s="1">
        <v>1400</v>
      </c>
      <c r="G148">
        <v>95.250936999999993</v>
      </c>
      <c r="H148">
        <v>36.779234000000002</v>
      </c>
      <c r="I148" s="10" t="s">
        <v>585</v>
      </c>
    </row>
    <row r="149" spans="1:9" s="19" customFormat="1" x14ac:dyDescent="0.25">
      <c r="A149" s="18" t="s">
        <v>471</v>
      </c>
      <c r="B149" s="18" t="s">
        <v>586</v>
      </c>
      <c r="C149" s="20">
        <f>F150</f>
        <v>800</v>
      </c>
      <c r="D149" s="19">
        <f t="shared" si="2"/>
        <v>91.324200913242009</v>
      </c>
      <c r="I149" s="23"/>
    </row>
    <row r="150" spans="1:9" x14ac:dyDescent="0.25">
      <c r="A150" s="9"/>
      <c r="B150" s="9"/>
      <c r="E150" s="1" t="s">
        <v>96</v>
      </c>
      <c r="F150" s="1">
        <v>800</v>
      </c>
      <c r="G150">
        <v>101.525115</v>
      </c>
      <c r="H150">
        <v>36.607078000000001</v>
      </c>
      <c r="I150" s="1" t="s">
        <v>31</v>
      </c>
    </row>
    <row r="151" spans="1:9" s="19" customFormat="1" x14ac:dyDescent="0.25">
      <c r="A151" s="18" t="s">
        <v>471</v>
      </c>
      <c r="B151" s="19" t="s">
        <v>135</v>
      </c>
      <c r="C151" s="20">
        <f>F152+F153</f>
        <v>1020</v>
      </c>
      <c r="D151" s="19">
        <f t="shared" si="2"/>
        <v>116.43835616438356</v>
      </c>
      <c r="I151" s="23"/>
    </row>
    <row r="152" spans="1:9" x14ac:dyDescent="0.25">
      <c r="E152" s="1" t="s">
        <v>133</v>
      </c>
      <c r="F152" s="1">
        <v>600</v>
      </c>
      <c r="G152">
        <v>94.955521000000005</v>
      </c>
      <c r="H152">
        <v>36.369340000000001</v>
      </c>
      <c r="I152" s="1" t="s">
        <v>31</v>
      </c>
    </row>
    <row r="153" spans="1:9" x14ac:dyDescent="0.25">
      <c r="E153" s="1" t="s">
        <v>199</v>
      </c>
      <c r="F153" s="1">
        <v>420</v>
      </c>
      <c r="G153">
        <v>95.220868999999993</v>
      </c>
      <c r="H153">
        <v>36.745685000000002</v>
      </c>
      <c r="I153" s="1" t="s">
        <v>31</v>
      </c>
    </row>
    <row r="154" spans="1:9" s="19" customFormat="1" x14ac:dyDescent="0.25">
      <c r="A154" s="18" t="s">
        <v>472</v>
      </c>
      <c r="B154" s="19" t="s">
        <v>66</v>
      </c>
      <c r="C154" s="31">
        <v>1400</v>
      </c>
      <c r="D154" s="19">
        <f t="shared" si="2"/>
        <v>159.8173515981735</v>
      </c>
      <c r="I154" s="23"/>
    </row>
    <row r="155" spans="1:9" x14ac:dyDescent="0.25">
      <c r="E155" s="1" t="s">
        <v>63</v>
      </c>
      <c r="F155" s="1">
        <v>1400</v>
      </c>
      <c r="G155">
        <v>108.65495</v>
      </c>
      <c r="H155">
        <v>19.089673999999999</v>
      </c>
      <c r="I155" s="1" t="s">
        <v>31</v>
      </c>
    </row>
    <row r="156" spans="1:9" s="19" customFormat="1" x14ac:dyDescent="0.25">
      <c r="A156" s="18" t="s">
        <v>473</v>
      </c>
      <c r="B156" s="18" t="s">
        <v>473</v>
      </c>
      <c r="C156" s="31">
        <v>1000</v>
      </c>
      <c r="D156" s="19">
        <f t="shared" si="2"/>
        <v>114.15525114155251</v>
      </c>
      <c r="I156" s="23"/>
    </row>
    <row r="157" spans="1:9" x14ac:dyDescent="0.25">
      <c r="E157" s="1" t="s">
        <v>76</v>
      </c>
      <c r="F157" s="1">
        <v>1000</v>
      </c>
      <c r="G157">
        <v>121.459242</v>
      </c>
      <c r="H157">
        <v>31.086797000000001</v>
      </c>
      <c r="I157" s="1" t="s">
        <v>11</v>
      </c>
    </row>
    <row r="158" spans="1:9" s="19" customFormat="1" x14ac:dyDescent="0.25">
      <c r="A158" s="18" t="s">
        <v>475</v>
      </c>
      <c r="B158" s="19" t="s">
        <v>111</v>
      </c>
      <c r="C158" s="20">
        <f>F159</f>
        <v>600</v>
      </c>
      <c r="D158" s="19">
        <f t="shared" si="2"/>
        <v>68.493150684931507</v>
      </c>
      <c r="I158" s="23"/>
    </row>
    <row r="159" spans="1:9" x14ac:dyDescent="0.25">
      <c r="A159" s="9"/>
      <c r="E159" s="1" t="s">
        <v>109</v>
      </c>
      <c r="F159" s="1">
        <v>600</v>
      </c>
      <c r="G159">
        <v>113.239231</v>
      </c>
      <c r="H159">
        <v>39.981330999999997</v>
      </c>
      <c r="I159" s="1" t="s">
        <v>11</v>
      </c>
    </row>
    <row r="160" spans="1:9" s="19" customFormat="1" x14ac:dyDescent="0.25">
      <c r="A160" s="18" t="s">
        <v>475</v>
      </c>
      <c r="B160" s="19" t="s">
        <v>239</v>
      </c>
      <c r="C160" s="20">
        <f>F161</f>
        <v>300</v>
      </c>
      <c r="D160" s="19">
        <f t="shared" si="2"/>
        <v>34.246575342465754</v>
      </c>
      <c r="I160" s="23"/>
    </row>
    <row r="161" spans="1:9" x14ac:dyDescent="0.25">
      <c r="A161" s="9"/>
      <c r="E161" s="1" t="s">
        <v>237</v>
      </c>
      <c r="F161" s="1">
        <v>300</v>
      </c>
      <c r="G161">
        <v>87.602215000000001</v>
      </c>
      <c r="H161">
        <v>43.801122999999997</v>
      </c>
      <c r="I161" s="1" t="s">
        <v>12</v>
      </c>
    </row>
    <row r="162" spans="1:9" s="28" customFormat="1" x14ac:dyDescent="0.25">
      <c r="A162" s="28" t="s">
        <v>475</v>
      </c>
      <c r="B162" s="28" t="s">
        <v>221</v>
      </c>
      <c r="C162" s="29">
        <f>SUM(F163:F168)</f>
        <v>1250</v>
      </c>
      <c r="D162" s="19">
        <f t="shared" si="2"/>
        <v>142.69406392694063</v>
      </c>
      <c r="I162" s="30"/>
    </row>
    <row r="163" spans="1:9" x14ac:dyDescent="0.25">
      <c r="A163" s="9"/>
      <c r="E163" s="1" t="s">
        <v>219</v>
      </c>
      <c r="F163" s="1">
        <v>400</v>
      </c>
      <c r="G163">
        <v>112.89503000000001</v>
      </c>
      <c r="H163">
        <v>35.659897000000001</v>
      </c>
      <c r="I163" s="1" t="s">
        <v>11</v>
      </c>
    </row>
    <row r="164" spans="1:9" x14ac:dyDescent="0.25">
      <c r="A164" s="9"/>
      <c r="E164" s="1" t="s">
        <v>240</v>
      </c>
      <c r="F164" s="1">
        <v>300</v>
      </c>
      <c r="G164">
        <v>112.938174</v>
      </c>
      <c r="H164">
        <v>35.505712000000003</v>
      </c>
      <c r="I164" s="1" t="s">
        <v>11</v>
      </c>
    </row>
    <row r="165" spans="1:9" x14ac:dyDescent="0.25">
      <c r="A165" s="9"/>
      <c r="E165" s="1" t="s">
        <v>309</v>
      </c>
      <c r="F165" s="1">
        <v>200</v>
      </c>
      <c r="G165">
        <v>112.83005300000001</v>
      </c>
      <c r="H165">
        <v>35.526913999999998</v>
      </c>
      <c r="I165" s="1" t="s">
        <v>11</v>
      </c>
    </row>
    <row r="166" spans="1:9" x14ac:dyDescent="0.25">
      <c r="A166" s="9"/>
      <c r="E166" s="1" t="s">
        <v>366</v>
      </c>
      <c r="F166" s="1">
        <v>150</v>
      </c>
      <c r="G166">
        <v>112.85021500000001</v>
      </c>
      <c r="H166">
        <v>35.767113999999999</v>
      </c>
      <c r="I166" s="1" t="s">
        <v>11</v>
      </c>
    </row>
    <row r="167" spans="1:9" x14ac:dyDescent="0.25">
      <c r="A167" s="9"/>
      <c r="E167" s="1" t="s">
        <v>402</v>
      </c>
      <c r="F167" s="1">
        <v>100</v>
      </c>
      <c r="G167">
        <v>112.88208400000001</v>
      </c>
      <c r="H167">
        <v>35.749144000000001</v>
      </c>
      <c r="I167" s="1" t="s">
        <v>11</v>
      </c>
    </row>
    <row r="168" spans="1:9" x14ac:dyDescent="0.25">
      <c r="A168" s="9"/>
      <c r="E168" s="1" t="s">
        <v>403</v>
      </c>
      <c r="F168" s="1">
        <v>100</v>
      </c>
      <c r="G168">
        <v>112.907487</v>
      </c>
      <c r="H168">
        <v>35.764012999999998</v>
      </c>
      <c r="I168" s="1" t="s">
        <v>11</v>
      </c>
    </row>
    <row r="169" spans="1:9" s="19" customFormat="1" x14ac:dyDescent="0.25">
      <c r="A169" s="18" t="s">
        <v>475</v>
      </c>
      <c r="B169" s="19" t="s">
        <v>205</v>
      </c>
      <c r="C169" s="20">
        <f>SUM(F170:F177)</f>
        <v>1800</v>
      </c>
      <c r="D169" s="19">
        <f t="shared" si="2"/>
        <v>205.47945205479451</v>
      </c>
      <c r="E169" s="23"/>
      <c r="F169" s="23"/>
      <c r="I169" s="23"/>
    </row>
    <row r="170" spans="1:9" x14ac:dyDescent="0.25">
      <c r="A170" s="9"/>
      <c r="E170" s="1" t="s">
        <v>203</v>
      </c>
      <c r="F170" s="1">
        <v>400</v>
      </c>
      <c r="G170">
        <v>112.190921</v>
      </c>
      <c r="H170">
        <v>36.386754000000003</v>
      </c>
      <c r="I170" s="1" t="s">
        <v>12</v>
      </c>
    </row>
    <row r="171" spans="1:9" x14ac:dyDescent="0.25">
      <c r="A171" s="9"/>
      <c r="E171" s="1" t="s">
        <v>218</v>
      </c>
      <c r="F171" s="1">
        <v>400</v>
      </c>
      <c r="G171">
        <v>111.47075700000001</v>
      </c>
      <c r="H171">
        <v>36.144378000000003</v>
      </c>
      <c r="I171" s="1" t="s">
        <v>12</v>
      </c>
    </row>
    <row r="172" spans="1:9" x14ac:dyDescent="0.25">
      <c r="A172" s="9"/>
      <c r="E172" s="1" t="s">
        <v>308</v>
      </c>
      <c r="F172" s="1">
        <v>200</v>
      </c>
      <c r="G172">
        <v>111.499262</v>
      </c>
      <c r="H172">
        <v>35.938763000000002</v>
      </c>
      <c r="I172" s="1" t="s">
        <v>12</v>
      </c>
    </row>
    <row r="173" spans="1:9" x14ac:dyDescent="0.25">
      <c r="A173" s="9"/>
      <c r="E173" s="1" t="s">
        <v>310</v>
      </c>
      <c r="F173" s="1">
        <v>200</v>
      </c>
      <c r="G173">
        <v>111.506095</v>
      </c>
      <c r="H173">
        <v>36.159872999999997</v>
      </c>
      <c r="I173" s="1" t="s">
        <v>12</v>
      </c>
    </row>
    <row r="174" spans="1:9" x14ac:dyDescent="0.25">
      <c r="A174" s="9"/>
      <c r="E174" s="1" t="s">
        <v>356</v>
      </c>
      <c r="F174" s="1">
        <v>200</v>
      </c>
      <c r="G174">
        <v>112.19521400000001</v>
      </c>
      <c r="H174">
        <v>36.385095</v>
      </c>
      <c r="I174" s="1" t="s">
        <v>12</v>
      </c>
    </row>
    <row r="175" spans="1:9" x14ac:dyDescent="0.25">
      <c r="A175" s="9"/>
      <c r="E175" s="1" t="s">
        <v>367</v>
      </c>
      <c r="F175" s="1">
        <v>150</v>
      </c>
      <c r="G175">
        <v>111.35696299999999</v>
      </c>
      <c r="H175">
        <v>36.475149000000002</v>
      </c>
      <c r="I175" s="1" t="s">
        <v>12</v>
      </c>
    </row>
    <row r="176" spans="1:9" x14ac:dyDescent="0.25">
      <c r="A176" s="9"/>
      <c r="E176" s="1" t="s">
        <v>385</v>
      </c>
      <c r="F176" s="1">
        <v>150</v>
      </c>
      <c r="G176">
        <v>111.417086</v>
      </c>
      <c r="H176">
        <v>35.917185000000003</v>
      </c>
      <c r="I176" s="1" t="s">
        <v>12</v>
      </c>
    </row>
    <row r="177" spans="1:9" x14ac:dyDescent="0.25">
      <c r="A177" s="9"/>
      <c r="E177" s="1" t="s">
        <v>438</v>
      </c>
      <c r="F177" s="1">
        <v>100</v>
      </c>
      <c r="G177">
        <v>111.99964</v>
      </c>
      <c r="H177">
        <v>36.354675999999998</v>
      </c>
      <c r="I177" s="1" t="s">
        <v>12</v>
      </c>
    </row>
    <row r="178" spans="1:9" s="19" customFormat="1" x14ac:dyDescent="0.25">
      <c r="A178" s="18" t="s">
        <v>475</v>
      </c>
      <c r="B178" s="19" t="s">
        <v>244</v>
      </c>
      <c r="C178" s="20">
        <f>SUM(F179:F183)</f>
        <v>1100</v>
      </c>
      <c r="D178" s="19">
        <f t="shared" si="2"/>
        <v>125.57077625570776</v>
      </c>
      <c r="E178" s="23"/>
      <c r="F178" s="23"/>
      <c r="I178" s="23"/>
    </row>
    <row r="179" spans="1:9" x14ac:dyDescent="0.25">
      <c r="E179" s="1" t="s">
        <v>242</v>
      </c>
      <c r="F179" s="1">
        <v>300</v>
      </c>
      <c r="G179">
        <v>111.838915</v>
      </c>
      <c r="H179">
        <v>37.064708000000003</v>
      </c>
      <c r="I179" s="1" t="s">
        <v>12</v>
      </c>
    </row>
    <row r="180" spans="1:9" x14ac:dyDescent="0.25">
      <c r="A180" s="9"/>
      <c r="E180" s="1" t="s">
        <v>299</v>
      </c>
      <c r="F180" s="1">
        <v>250</v>
      </c>
      <c r="G180">
        <v>111.81694899999999</v>
      </c>
      <c r="H180">
        <v>37.08728</v>
      </c>
      <c r="I180" s="1" t="s">
        <v>12</v>
      </c>
    </row>
    <row r="181" spans="1:9" x14ac:dyDescent="0.25">
      <c r="A181" s="9"/>
      <c r="E181" s="1" t="s">
        <v>300</v>
      </c>
      <c r="F181" s="1">
        <v>250</v>
      </c>
      <c r="G181">
        <v>111.79259399999999</v>
      </c>
      <c r="H181">
        <v>37.092464999999997</v>
      </c>
      <c r="I181" s="1" t="s">
        <v>12</v>
      </c>
    </row>
    <row r="182" spans="1:9" x14ac:dyDescent="0.25">
      <c r="A182" s="9"/>
      <c r="E182" s="1" t="s">
        <v>349</v>
      </c>
      <c r="F182" s="1">
        <v>200</v>
      </c>
      <c r="G182">
        <v>111.171694</v>
      </c>
      <c r="H182">
        <v>37.484853000000001</v>
      </c>
      <c r="I182" s="1" t="s">
        <v>12</v>
      </c>
    </row>
    <row r="183" spans="1:9" x14ac:dyDescent="0.25">
      <c r="A183" s="9"/>
      <c r="E183" s="1" t="s">
        <v>404</v>
      </c>
      <c r="F183" s="1">
        <v>100</v>
      </c>
      <c r="G183">
        <v>111.668171</v>
      </c>
      <c r="H183">
        <v>37.194175000000001</v>
      </c>
      <c r="I183" s="1" t="s">
        <v>12</v>
      </c>
    </row>
    <row r="184" spans="1:9" s="19" customFormat="1" x14ac:dyDescent="0.25">
      <c r="A184" s="18" t="s">
        <v>475</v>
      </c>
      <c r="B184" s="19" t="s">
        <v>91</v>
      </c>
      <c r="C184" s="20">
        <f>F185</f>
        <v>900</v>
      </c>
      <c r="D184" s="19">
        <f t="shared" si="2"/>
        <v>102.73972602739725</v>
      </c>
      <c r="E184" s="23"/>
      <c r="F184" s="23"/>
      <c r="I184" s="23"/>
    </row>
    <row r="185" spans="1:9" x14ac:dyDescent="0.25">
      <c r="E185" s="1" t="s">
        <v>88</v>
      </c>
      <c r="F185" s="1">
        <v>900</v>
      </c>
      <c r="G185">
        <v>112.82397899999999</v>
      </c>
      <c r="H185">
        <v>39.609577999999999</v>
      </c>
      <c r="I185" s="1" t="s">
        <v>11</v>
      </c>
    </row>
    <row r="186" spans="1:9" s="19" customFormat="1" x14ac:dyDescent="0.25">
      <c r="A186" s="18" t="s">
        <v>475</v>
      </c>
      <c r="B186" s="19" t="s">
        <v>283</v>
      </c>
      <c r="C186" s="20">
        <f>F187+F188</f>
        <v>600</v>
      </c>
      <c r="D186" s="19">
        <f t="shared" si="2"/>
        <v>68.493150684931507</v>
      </c>
      <c r="E186" s="23"/>
      <c r="F186" s="23"/>
      <c r="I186" s="23"/>
    </row>
    <row r="187" spans="1:9" x14ac:dyDescent="0.25">
      <c r="E187" s="1" t="s">
        <v>281</v>
      </c>
      <c r="F187" s="1">
        <v>300</v>
      </c>
      <c r="G187">
        <v>112.348994</v>
      </c>
      <c r="H187">
        <v>37.595547000000003</v>
      </c>
      <c r="I187" s="1" t="s">
        <v>12</v>
      </c>
    </row>
    <row r="188" spans="1:9" x14ac:dyDescent="0.25">
      <c r="A188" s="9"/>
      <c r="E188" s="1" t="s">
        <v>288</v>
      </c>
      <c r="F188" s="1">
        <v>300</v>
      </c>
      <c r="G188">
        <v>112.567395</v>
      </c>
      <c r="H188">
        <v>37.831673000000002</v>
      </c>
      <c r="I188" s="1" t="s">
        <v>12</v>
      </c>
    </row>
    <row r="189" spans="1:9" s="19" customFormat="1" x14ac:dyDescent="0.25">
      <c r="A189" s="18" t="s">
        <v>475</v>
      </c>
      <c r="B189" s="19" t="s">
        <v>202</v>
      </c>
      <c r="C189" s="20">
        <f>F190+F191</f>
        <v>700</v>
      </c>
      <c r="D189" s="19">
        <f t="shared" si="2"/>
        <v>79.908675799086751</v>
      </c>
      <c r="E189" s="23"/>
      <c r="F189" s="23"/>
      <c r="I189" s="23"/>
    </row>
    <row r="190" spans="1:9" x14ac:dyDescent="0.25">
      <c r="E190" s="1" t="s">
        <v>200</v>
      </c>
      <c r="F190" s="1">
        <v>400</v>
      </c>
      <c r="G190">
        <v>110.770695</v>
      </c>
      <c r="H190">
        <v>35.126852</v>
      </c>
      <c r="I190" s="1" t="s">
        <v>11</v>
      </c>
    </row>
    <row r="191" spans="1:9" x14ac:dyDescent="0.25">
      <c r="A191" s="9"/>
      <c r="E191" s="1" t="s">
        <v>241</v>
      </c>
      <c r="F191" s="1">
        <v>300</v>
      </c>
      <c r="G191">
        <v>111.240786</v>
      </c>
      <c r="H191">
        <v>35.688460999999997</v>
      </c>
      <c r="I191" s="1" t="s">
        <v>12</v>
      </c>
    </row>
    <row r="192" spans="1:9" s="19" customFormat="1" x14ac:dyDescent="0.25">
      <c r="A192" s="18" t="s">
        <v>475</v>
      </c>
      <c r="B192" s="19" t="s">
        <v>217</v>
      </c>
      <c r="C192" s="20">
        <f>F193+F194</f>
        <v>500</v>
      </c>
      <c r="D192" s="19">
        <f t="shared" si="2"/>
        <v>57.077625570776256</v>
      </c>
      <c r="E192" s="23"/>
      <c r="F192" s="23"/>
      <c r="I192" s="23"/>
    </row>
    <row r="193" spans="1:9" x14ac:dyDescent="0.25">
      <c r="E193" s="1" t="s">
        <v>215</v>
      </c>
      <c r="F193" s="1">
        <v>400</v>
      </c>
      <c r="G193">
        <v>113.11689</v>
      </c>
      <c r="H193">
        <v>36.451324</v>
      </c>
      <c r="I193" s="1" t="s">
        <v>12</v>
      </c>
    </row>
    <row r="194" spans="1:9" x14ac:dyDescent="0.25">
      <c r="A194" s="9"/>
      <c r="E194" s="1" t="s">
        <v>432</v>
      </c>
      <c r="F194" s="1">
        <v>100</v>
      </c>
      <c r="G194">
        <v>112.267944</v>
      </c>
      <c r="H194">
        <v>36.750444999999999</v>
      </c>
      <c r="I194" s="1" t="s">
        <v>12</v>
      </c>
    </row>
    <row r="195" spans="1:9" s="19" customFormat="1" x14ac:dyDescent="0.25">
      <c r="A195" s="18" t="s">
        <v>535</v>
      </c>
      <c r="B195" s="18" t="s">
        <v>535</v>
      </c>
      <c r="C195" s="20">
        <f>SUM(F196:F199)</f>
        <v>2470</v>
      </c>
      <c r="D195" s="19">
        <f t="shared" si="2"/>
        <v>281.96347031963472</v>
      </c>
      <c r="I195" s="23"/>
    </row>
    <row r="196" spans="1:9" x14ac:dyDescent="0.25">
      <c r="A196" s="9"/>
      <c r="B196" s="9"/>
      <c r="E196" s="1" t="s">
        <v>92</v>
      </c>
      <c r="F196" s="1">
        <v>870</v>
      </c>
      <c r="G196">
        <v>107.01438</v>
      </c>
      <c r="H196">
        <v>29.795963</v>
      </c>
      <c r="I196" s="1" t="s">
        <v>31</v>
      </c>
    </row>
    <row r="197" spans="1:9" x14ac:dyDescent="0.25">
      <c r="A197" s="9"/>
      <c r="B197" s="9"/>
      <c r="E197" s="1" t="s">
        <v>95</v>
      </c>
      <c r="F197" s="1">
        <v>850</v>
      </c>
      <c r="G197">
        <v>107.04969</v>
      </c>
      <c r="H197">
        <v>29.819158999999999</v>
      </c>
      <c r="I197" s="1" t="s">
        <v>31</v>
      </c>
    </row>
    <row r="198" spans="1:9" x14ac:dyDescent="0.25">
      <c r="A198" s="9"/>
      <c r="B198" s="9"/>
      <c r="E198" s="1" t="s">
        <v>195</v>
      </c>
      <c r="F198" s="1">
        <v>450</v>
      </c>
      <c r="G198">
        <v>106.988326</v>
      </c>
      <c r="H198">
        <v>29.81429</v>
      </c>
      <c r="I198" s="1" t="s">
        <v>31</v>
      </c>
    </row>
    <row r="199" spans="1:9" x14ac:dyDescent="0.25">
      <c r="E199" s="1" t="s">
        <v>265</v>
      </c>
      <c r="F199" s="1">
        <v>300</v>
      </c>
      <c r="G199">
        <v>106.791579</v>
      </c>
      <c r="H199">
        <v>28.847339999999999</v>
      </c>
      <c r="I199" s="1" t="s">
        <v>11</v>
      </c>
    </row>
    <row r="200" spans="1:9" s="19" customFormat="1" x14ac:dyDescent="0.25">
      <c r="A200" s="19" t="s">
        <v>478</v>
      </c>
      <c r="B200" s="19" t="s">
        <v>352</v>
      </c>
      <c r="C200" s="20">
        <f>F201</f>
        <v>200</v>
      </c>
      <c r="D200" s="19">
        <f t="shared" si="2"/>
        <v>22.831050228310502</v>
      </c>
      <c r="I200" s="23"/>
    </row>
    <row r="201" spans="1:9" x14ac:dyDescent="0.25">
      <c r="E201" s="1" t="s">
        <v>350</v>
      </c>
      <c r="F201" s="1">
        <v>200</v>
      </c>
      <c r="G201">
        <v>124.826903</v>
      </c>
      <c r="H201">
        <v>46.581992</v>
      </c>
      <c r="I201" s="1" t="s">
        <v>31</v>
      </c>
    </row>
    <row r="202" spans="1:9" s="19" customFormat="1" x14ac:dyDescent="0.25">
      <c r="A202" s="19" t="s">
        <v>478</v>
      </c>
      <c r="B202" s="19" t="s">
        <v>227</v>
      </c>
      <c r="C202" s="20">
        <f>F203</f>
        <v>390</v>
      </c>
      <c r="D202" s="19">
        <f t="shared" si="2"/>
        <v>44.520547945205479</v>
      </c>
      <c r="E202" s="23"/>
      <c r="F202" s="23"/>
      <c r="I202" s="23"/>
    </row>
    <row r="203" spans="1:9" x14ac:dyDescent="0.25">
      <c r="E203" s="1" t="s">
        <v>225</v>
      </c>
      <c r="F203" s="1">
        <v>390</v>
      </c>
      <c r="G203">
        <v>129.42220399999999</v>
      </c>
      <c r="H203">
        <v>46.192129000000001</v>
      </c>
      <c r="I203" s="1" t="s">
        <v>11</v>
      </c>
    </row>
    <row r="204" spans="1:9" s="19" customFormat="1" x14ac:dyDescent="0.25">
      <c r="A204" s="18" t="s">
        <v>543</v>
      </c>
      <c r="B204" s="19" t="s">
        <v>104</v>
      </c>
      <c r="C204" s="20">
        <f>SUM(F205:F208)</f>
        <v>980</v>
      </c>
      <c r="D204" s="19">
        <f t="shared" si="2"/>
        <v>111.87214611872146</v>
      </c>
      <c r="E204" s="23"/>
      <c r="F204" s="23"/>
      <c r="I204" s="23"/>
    </row>
    <row r="205" spans="1:9" x14ac:dyDescent="0.25">
      <c r="E205" s="1" t="s">
        <v>101</v>
      </c>
      <c r="F205" s="1">
        <v>700</v>
      </c>
      <c r="G205">
        <v>130.899066</v>
      </c>
      <c r="H205">
        <v>45.817689000000001</v>
      </c>
      <c r="I205" s="10" t="s">
        <v>577</v>
      </c>
    </row>
    <row r="206" spans="1:9" x14ac:dyDescent="0.25">
      <c r="A206" s="9"/>
      <c r="E206" s="1" t="s">
        <v>409</v>
      </c>
      <c r="F206" s="1">
        <v>100</v>
      </c>
      <c r="G206">
        <v>130.89403300000001</v>
      </c>
      <c r="H206">
        <v>45.838192999999997</v>
      </c>
      <c r="I206" s="1" t="s">
        <v>11</v>
      </c>
    </row>
    <row r="207" spans="1:9" x14ac:dyDescent="0.25">
      <c r="A207" s="9"/>
      <c r="E207" s="1" t="s">
        <v>410</v>
      </c>
      <c r="F207" s="1">
        <v>100</v>
      </c>
      <c r="G207">
        <v>130.574645</v>
      </c>
      <c r="H207">
        <v>45.772064999999998</v>
      </c>
      <c r="I207" s="1" t="s">
        <v>12</v>
      </c>
    </row>
    <row r="208" spans="1:9" x14ac:dyDescent="0.25">
      <c r="E208" s="1" t="s">
        <v>445</v>
      </c>
      <c r="F208" s="1">
        <v>80</v>
      </c>
      <c r="G208">
        <v>131.219392</v>
      </c>
      <c r="H208">
        <v>45.800414000000004</v>
      </c>
      <c r="I208" s="1" t="s">
        <v>12</v>
      </c>
    </row>
    <row r="209" spans="1:9" s="19" customFormat="1" x14ac:dyDescent="0.25">
      <c r="A209" s="19" t="s">
        <v>478</v>
      </c>
      <c r="B209" s="19" t="s">
        <v>449</v>
      </c>
      <c r="C209" s="20">
        <f>F210</f>
        <v>30</v>
      </c>
      <c r="D209" s="19">
        <f t="shared" ref="D209:D267" si="3">C209*1000/8760</f>
        <v>3.4246575342465753</v>
      </c>
      <c r="E209" s="23"/>
      <c r="F209" s="23"/>
      <c r="I209" s="23"/>
    </row>
    <row r="210" spans="1:9" x14ac:dyDescent="0.25">
      <c r="E210" s="1" t="s">
        <v>447</v>
      </c>
      <c r="F210" s="1">
        <v>30</v>
      </c>
      <c r="G210">
        <v>123.645251</v>
      </c>
      <c r="H210">
        <v>47.200626</v>
      </c>
      <c r="I210" s="1" t="s">
        <v>12</v>
      </c>
    </row>
    <row r="211" spans="1:9" s="19" customFormat="1" x14ac:dyDescent="0.25">
      <c r="A211" s="19" t="s">
        <v>478</v>
      </c>
      <c r="B211" s="19" t="s">
        <v>408</v>
      </c>
      <c r="C211" s="20">
        <f>F212+F213</f>
        <v>165</v>
      </c>
      <c r="D211" s="19">
        <f t="shared" si="3"/>
        <v>18.835616438356166</v>
      </c>
      <c r="E211" s="23"/>
      <c r="F211" s="23"/>
      <c r="I211" s="23"/>
    </row>
    <row r="212" spans="1:9" x14ac:dyDescent="0.25">
      <c r="E212" s="1" t="s">
        <v>406</v>
      </c>
      <c r="F212" s="1">
        <v>100</v>
      </c>
      <c r="G212">
        <v>131.09517299999999</v>
      </c>
      <c r="H212">
        <v>46.607368999999998</v>
      </c>
      <c r="I212" s="1" t="s">
        <v>12</v>
      </c>
    </row>
    <row r="213" spans="1:9" x14ac:dyDescent="0.25">
      <c r="E213" s="1" t="s">
        <v>446</v>
      </c>
      <c r="F213" s="1">
        <v>65</v>
      </c>
      <c r="G213">
        <v>131.19527199999999</v>
      </c>
      <c r="H213">
        <v>46.805320999999999</v>
      </c>
      <c r="I213" s="1" t="s">
        <v>12</v>
      </c>
    </row>
    <row r="214" spans="1:9" s="19" customFormat="1" x14ac:dyDescent="0.25">
      <c r="A214" s="19" t="s">
        <v>480</v>
      </c>
      <c r="B214" s="19" t="s">
        <v>322</v>
      </c>
      <c r="C214" s="20">
        <f>F215+F216</f>
        <v>310</v>
      </c>
      <c r="D214" s="19">
        <f t="shared" si="3"/>
        <v>35.388127853881279</v>
      </c>
      <c r="E214" s="23"/>
      <c r="F214" s="23"/>
      <c r="I214" s="23"/>
    </row>
    <row r="215" spans="1:9" x14ac:dyDescent="0.25">
      <c r="E215" s="1" t="s">
        <v>320</v>
      </c>
      <c r="F215" s="1">
        <v>200</v>
      </c>
      <c r="G215">
        <v>114.39515299999999</v>
      </c>
      <c r="H215">
        <v>36.158807000000003</v>
      </c>
      <c r="I215" s="1" t="s">
        <v>11</v>
      </c>
    </row>
    <row r="216" spans="1:9" x14ac:dyDescent="0.25">
      <c r="E216" s="1" t="s">
        <v>397</v>
      </c>
      <c r="F216" s="1">
        <v>110</v>
      </c>
      <c r="G216">
        <v>114.065292</v>
      </c>
      <c r="H216">
        <v>36.221676000000002</v>
      </c>
      <c r="I216" s="1" t="s">
        <v>12</v>
      </c>
    </row>
    <row r="217" spans="1:9" s="19" customFormat="1" x14ac:dyDescent="0.25">
      <c r="A217" s="19" t="s">
        <v>480</v>
      </c>
      <c r="B217" s="19" t="s">
        <v>143</v>
      </c>
      <c r="C217" s="20">
        <f>F218+F219</f>
        <v>800</v>
      </c>
      <c r="D217" s="19">
        <f t="shared" si="3"/>
        <v>91.324200913242009</v>
      </c>
      <c r="E217" s="23"/>
      <c r="F217" s="23"/>
      <c r="I217" s="23"/>
    </row>
    <row r="218" spans="1:9" x14ac:dyDescent="0.25">
      <c r="E218" s="1" t="s">
        <v>141</v>
      </c>
      <c r="F218" s="1">
        <v>600</v>
      </c>
      <c r="G218">
        <v>114.16030000000001</v>
      </c>
      <c r="H218">
        <v>35.876181000000003</v>
      </c>
      <c r="I218" s="1" t="s">
        <v>11</v>
      </c>
    </row>
    <row r="219" spans="1:9" x14ac:dyDescent="0.25">
      <c r="E219" s="1" t="s">
        <v>344</v>
      </c>
      <c r="F219" s="1">
        <v>200</v>
      </c>
      <c r="G219">
        <v>114.195915</v>
      </c>
      <c r="H219">
        <v>35.873542999999998</v>
      </c>
      <c r="I219" s="1" t="s">
        <v>11</v>
      </c>
    </row>
    <row r="220" spans="1:9" s="19" customFormat="1" x14ac:dyDescent="0.25">
      <c r="A220" s="19" t="s">
        <v>480</v>
      </c>
      <c r="B220" s="19" t="s">
        <v>422</v>
      </c>
      <c r="C220" s="20">
        <f>F221</f>
        <v>100</v>
      </c>
      <c r="D220" s="19">
        <f t="shared" si="3"/>
        <v>11.415525114155251</v>
      </c>
      <c r="E220" s="23"/>
      <c r="F220" s="23"/>
      <c r="I220" s="23"/>
    </row>
    <row r="221" spans="1:9" x14ac:dyDescent="0.25">
      <c r="E221" s="1" t="s">
        <v>420</v>
      </c>
      <c r="F221" s="1">
        <v>100</v>
      </c>
      <c r="G221">
        <v>112.918018</v>
      </c>
      <c r="H221">
        <v>33.906945</v>
      </c>
      <c r="I221" s="1" t="s">
        <v>12</v>
      </c>
    </row>
    <row r="222" spans="1:9" s="19" customFormat="1" x14ac:dyDescent="0.25">
      <c r="A222" s="19" t="s">
        <v>480</v>
      </c>
      <c r="B222" s="19" t="s">
        <v>178</v>
      </c>
      <c r="C222" s="20">
        <f>F223+F225+F224</f>
        <v>1200</v>
      </c>
      <c r="D222" s="19">
        <f t="shared" si="3"/>
        <v>136.98630136986301</v>
      </c>
      <c r="E222" s="23"/>
      <c r="F222" s="23"/>
      <c r="I222" s="23"/>
    </row>
    <row r="223" spans="1:9" x14ac:dyDescent="0.25">
      <c r="E223" s="1" t="s">
        <v>176</v>
      </c>
      <c r="F223" s="1">
        <v>500</v>
      </c>
      <c r="G223">
        <v>115.00133099999999</v>
      </c>
      <c r="H223">
        <v>35.768039999999999</v>
      </c>
      <c r="I223" s="1" t="s">
        <v>11</v>
      </c>
    </row>
    <row r="224" spans="1:9" x14ac:dyDescent="0.25">
      <c r="E224" s="1" t="s">
        <v>179</v>
      </c>
      <c r="F224" s="1">
        <v>500</v>
      </c>
      <c r="G224">
        <v>114.981286</v>
      </c>
      <c r="H224">
        <v>35.778740999999997</v>
      </c>
      <c r="I224" s="1" t="s">
        <v>11</v>
      </c>
    </row>
    <row r="225" spans="1:9" x14ac:dyDescent="0.25">
      <c r="E225" s="1" t="s">
        <v>323</v>
      </c>
      <c r="F225" s="1">
        <v>200</v>
      </c>
      <c r="G225">
        <v>114.981286</v>
      </c>
      <c r="H225">
        <v>35.778740999999997</v>
      </c>
      <c r="I225" s="1" t="s">
        <v>11</v>
      </c>
    </row>
    <row r="226" spans="1:9" s="19" customFormat="1" x14ac:dyDescent="0.25">
      <c r="A226" s="19" t="s">
        <v>480</v>
      </c>
      <c r="B226" s="19" t="s">
        <v>261</v>
      </c>
      <c r="C226" s="20">
        <f>F227+F228</f>
        <v>540</v>
      </c>
      <c r="D226" s="19">
        <f t="shared" si="3"/>
        <v>61.643835616438359</v>
      </c>
      <c r="E226" s="23"/>
      <c r="F226" s="23"/>
      <c r="I226" s="23"/>
    </row>
    <row r="227" spans="1:9" x14ac:dyDescent="0.25">
      <c r="E227" s="1" t="s">
        <v>259</v>
      </c>
      <c r="F227" s="1">
        <v>300</v>
      </c>
      <c r="G227">
        <v>111.96368099999999</v>
      </c>
      <c r="H227">
        <v>34.727761000000001</v>
      </c>
      <c r="I227" s="1" t="s">
        <v>11</v>
      </c>
    </row>
    <row r="228" spans="1:9" x14ac:dyDescent="0.25">
      <c r="E228" s="1" t="s">
        <v>301</v>
      </c>
      <c r="F228" s="1">
        <v>240</v>
      </c>
      <c r="G228">
        <v>111.847556</v>
      </c>
      <c r="H228">
        <v>34.749872000000003</v>
      </c>
      <c r="I228" s="1" t="s">
        <v>11</v>
      </c>
    </row>
    <row r="229" spans="1:9" s="19" customFormat="1" x14ac:dyDescent="0.25">
      <c r="A229" s="18" t="s">
        <v>539</v>
      </c>
      <c r="B229" s="19" t="s">
        <v>124</v>
      </c>
      <c r="C229" s="20">
        <f>SUM(F230:F233)</f>
        <v>1500</v>
      </c>
      <c r="D229" s="19">
        <f t="shared" si="3"/>
        <v>171.23287671232876</v>
      </c>
      <c r="E229" s="23"/>
      <c r="F229" s="23"/>
      <c r="I229" s="23"/>
    </row>
    <row r="230" spans="1:9" x14ac:dyDescent="0.25">
      <c r="E230" s="1" t="s">
        <v>121</v>
      </c>
      <c r="F230" s="1">
        <v>600</v>
      </c>
      <c r="G230">
        <v>113.85592800000001</v>
      </c>
      <c r="H230">
        <v>35.211511999999999</v>
      </c>
      <c r="I230" s="1" t="s">
        <v>11</v>
      </c>
    </row>
    <row r="231" spans="1:9" x14ac:dyDescent="0.25">
      <c r="E231" s="1" t="s">
        <v>194</v>
      </c>
      <c r="F231" s="1">
        <v>450</v>
      </c>
      <c r="G231">
        <v>114.062102</v>
      </c>
      <c r="H231">
        <v>35.435378</v>
      </c>
      <c r="I231" s="1" t="s">
        <v>11</v>
      </c>
    </row>
    <row r="232" spans="1:9" x14ac:dyDescent="0.25">
      <c r="E232" s="1" t="s">
        <v>233</v>
      </c>
      <c r="F232" s="1">
        <v>350</v>
      </c>
      <c r="G232">
        <v>113.64048699999999</v>
      </c>
      <c r="H232">
        <v>35.249392</v>
      </c>
      <c r="I232" s="1" t="s">
        <v>11</v>
      </c>
    </row>
    <row r="233" spans="1:9" x14ac:dyDescent="0.25">
      <c r="E233" s="1" t="s">
        <v>434</v>
      </c>
      <c r="F233" s="1">
        <v>100</v>
      </c>
      <c r="G233">
        <v>114.14370700000001</v>
      </c>
      <c r="H233">
        <v>35.291901000000003</v>
      </c>
      <c r="I233" s="1" t="s">
        <v>12</v>
      </c>
    </row>
    <row r="234" spans="1:9" s="19" customFormat="1" x14ac:dyDescent="0.25">
      <c r="A234" s="19" t="s">
        <v>480</v>
      </c>
      <c r="B234" s="19" t="s">
        <v>326</v>
      </c>
      <c r="C234" s="20">
        <f>F235</f>
        <v>200</v>
      </c>
      <c r="D234" s="19">
        <f t="shared" si="3"/>
        <v>22.831050228310502</v>
      </c>
      <c r="E234" s="23"/>
      <c r="F234" s="23"/>
      <c r="I234" s="23"/>
    </row>
    <row r="235" spans="1:9" x14ac:dyDescent="0.25">
      <c r="E235" s="1" t="s">
        <v>324</v>
      </c>
      <c r="F235" s="1">
        <v>200</v>
      </c>
      <c r="G235">
        <v>114.02743100000001</v>
      </c>
      <c r="H235">
        <v>33.144247</v>
      </c>
      <c r="I235" s="1" t="s">
        <v>11</v>
      </c>
    </row>
    <row r="236" spans="1:9" s="19" customFormat="1" x14ac:dyDescent="0.25">
      <c r="A236" s="18" t="s">
        <v>524</v>
      </c>
      <c r="B236" s="19" t="s">
        <v>147</v>
      </c>
      <c r="C236" s="20">
        <f>F237</f>
        <v>600</v>
      </c>
      <c r="D236" s="19">
        <f t="shared" si="3"/>
        <v>68.493150684931507</v>
      </c>
      <c r="E236" s="23"/>
      <c r="F236" s="23"/>
      <c r="I236" s="23"/>
    </row>
    <row r="237" spans="1:9" x14ac:dyDescent="0.25">
      <c r="E237" s="1" t="s">
        <v>144</v>
      </c>
      <c r="F237" s="1">
        <v>600</v>
      </c>
      <c r="G237">
        <v>106.81073000000001</v>
      </c>
      <c r="H237">
        <v>35.255029999999998</v>
      </c>
      <c r="I237" s="1" t="s">
        <v>11</v>
      </c>
    </row>
    <row r="238" spans="1:9" s="19" customFormat="1" x14ac:dyDescent="0.25">
      <c r="A238" s="19" t="s">
        <v>482</v>
      </c>
      <c r="B238" s="19" t="s">
        <v>348</v>
      </c>
      <c r="C238" s="20">
        <f>F239</f>
        <v>200</v>
      </c>
      <c r="D238" s="19">
        <f t="shared" si="3"/>
        <v>22.831050228310502</v>
      </c>
      <c r="E238" s="23"/>
      <c r="F238" s="23"/>
      <c r="I238" s="23"/>
    </row>
    <row r="239" spans="1:9" x14ac:dyDescent="0.25">
      <c r="E239" s="1" t="s">
        <v>346</v>
      </c>
      <c r="F239" s="1">
        <v>200</v>
      </c>
      <c r="G239">
        <v>103.464382</v>
      </c>
      <c r="H239">
        <v>36.167368000000003</v>
      </c>
      <c r="I239" s="1" t="s">
        <v>31</v>
      </c>
    </row>
    <row r="240" spans="1:9" s="19" customFormat="1" x14ac:dyDescent="0.25">
      <c r="A240" s="19" t="s">
        <v>482</v>
      </c>
      <c r="B240" s="19" t="s">
        <v>430</v>
      </c>
      <c r="C240" s="20">
        <f>F241</f>
        <v>100</v>
      </c>
      <c r="D240" s="19">
        <f t="shared" si="3"/>
        <v>11.415525114155251</v>
      </c>
      <c r="E240" s="23"/>
      <c r="F240" s="23"/>
      <c r="I240" s="23"/>
    </row>
    <row r="241" spans="1:9" x14ac:dyDescent="0.25">
      <c r="E241" s="1" t="s">
        <v>428</v>
      </c>
      <c r="F241" s="1">
        <v>100</v>
      </c>
      <c r="G241">
        <v>103.29443000000001</v>
      </c>
      <c r="H241">
        <v>35.988855999999998</v>
      </c>
      <c r="I241" s="1" t="s">
        <v>11</v>
      </c>
    </row>
    <row r="242" spans="1:9" s="19" customFormat="1" x14ac:dyDescent="0.25">
      <c r="A242" s="18" t="s">
        <v>484</v>
      </c>
      <c r="B242" s="18" t="s">
        <v>587</v>
      </c>
      <c r="C242" s="20">
        <f>F243</f>
        <v>600</v>
      </c>
      <c r="D242" s="19">
        <f t="shared" si="3"/>
        <v>68.493150684931507</v>
      </c>
      <c r="I242" s="23"/>
    </row>
    <row r="243" spans="1:9" x14ac:dyDescent="0.25">
      <c r="E243" s="1" t="s">
        <v>148</v>
      </c>
      <c r="F243" s="1">
        <v>600</v>
      </c>
      <c r="G243">
        <v>116.586061</v>
      </c>
      <c r="H243">
        <v>29.937269000000001</v>
      </c>
      <c r="I243" s="1" t="s">
        <v>11</v>
      </c>
    </row>
    <row r="244" spans="1:9" s="19" customFormat="1" x14ac:dyDescent="0.25">
      <c r="A244" s="19" t="s">
        <v>158</v>
      </c>
      <c r="B244" s="19" t="s">
        <v>158</v>
      </c>
      <c r="C244" s="20">
        <f>F245</f>
        <v>500</v>
      </c>
      <c r="D244" s="19">
        <f t="shared" si="3"/>
        <v>57.077625570776256</v>
      </c>
      <c r="I244" s="23"/>
    </row>
    <row r="245" spans="1:9" x14ac:dyDescent="0.25">
      <c r="E245" s="1" t="s">
        <v>156</v>
      </c>
      <c r="F245" s="1">
        <v>500</v>
      </c>
      <c r="G245">
        <v>117.72578</v>
      </c>
      <c r="H245">
        <v>38.937055999999998</v>
      </c>
      <c r="I245" s="1" t="s">
        <v>11</v>
      </c>
    </row>
    <row r="246" spans="1:9" s="19" customFormat="1" x14ac:dyDescent="0.25">
      <c r="A246" s="19" t="s">
        <v>486</v>
      </c>
      <c r="B246" s="19" t="s">
        <v>413</v>
      </c>
      <c r="C246" s="20">
        <f>F247</f>
        <v>100</v>
      </c>
      <c r="D246" s="19">
        <f t="shared" si="3"/>
        <v>11.415525114155251</v>
      </c>
      <c r="I246" s="23"/>
    </row>
    <row r="247" spans="1:9" x14ac:dyDescent="0.25">
      <c r="E247" s="1" t="s">
        <v>411</v>
      </c>
      <c r="F247" s="1">
        <v>100</v>
      </c>
      <c r="G247">
        <v>119.45232300000001</v>
      </c>
      <c r="H247">
        <v>34.671337999999999</v>
      </c>
      <c r="I247" s="1" t="s">
        <v>11</v>
      </c>
    </row>
    <row r="248" spans="1:9" s="19" customFormat="1" x14ac:dyDescent="0.25">
      <c r="A248" s="19" t="s">
        <v>486</v>
      </c>
      <c r="B248" s="19" t="s">
        <v>186</v>
      </c>
      <c r="C248" s="20">
        <f>F249</f>
        <v>500</v>
      </c>
      <c r="D248" s="19">
        <f t="shared" si="3"/>
        <v>57.077625570776256</v>
      </c>
      <c r="E248" s="23"/>
      <c r="F248" s="23"/>
      <c r="I248" s="23"/>
    </row>
    <row r="249" spans="1:9" x14ac:dyDescent="0.25">
      <c r="E249" s="1" t="s">
        <v>184</v>
      </c>
      <c r="F249" s="1">
        <v>500</v>
      </c>
      <c r="G249">
        <v>118.80493800000001</v>
      </c>
      <c r="H249">
        <v>32.283864999999999</v>
      </c>
      <c r="I249" s="1" t="s">
        <v>11</v>
      </c>
    </row>
    <row r="250" spans="1:9" s="19" customFormat="1" x14ac:dyDescent="0.25">
      <c r="A250" s="18" t="s">
        <v>531</v>
      </c>
      <c r="B250" s="18" t="s">
        <v>588</v>
      </c>
      <c r="C250" s="20">
        <f>F251+F252</f>
        <v>580</v>
      </c>
      <c r="D250" s="19">
        <f t="shared" si="3"/>
        <v>66.210045662100455</v>
      </c>
      <c r="E250" s="23"/>
      <c r="F250" s="23"/>
      <c r="I250" s="23"/>
    </row>
    <row r="251" spans="1:9" x14ac:dyDescent="0.25">
      <c r="E251" s="1" t="s">
        <v>160</v>
      </c>
      <c r="F251" s="1">
        <v>500</v>
      </c>
      <c r="G251">
        <v>120.551007</v>
      </c>
      <c r="H251">
        <v>30.957346000000001</v>
      </c>
      <c r="I251" s="1" t="s">
        <v>11</v>
      </c>
    </row>
    <row r="252" spans="1:9" ht="14.4" customHeight="1" x14ac:dyDescent="0.25">
      <c r="E252" s="1" t="s">
        <v>442</v>
      </c>
      <c r="F252" s="1">
        <v>80</v>
      </c>
      <c r="G252">
        <v>120.510983</v>
      </c>
      <c r="H252">
        <v>31.972580000000001</v>
      </c>
      <c r="I252" s="1" t="s">
        <v>11</v>
      </c>
    </row>
    <row r="253" spans="1:9" s="19" customFormat="1" x14ac:dyDescent="0.25">
      <c r="A253" s="19" t="s">
        <v>486</v>
      </c>
      <c r="B253" s="19" t="s">
        <v>257</v>
      </c>
      <c r="C253" s="20">
        <f>F254+F255</f>
        <v>600</v>
      </c>
      <c r="D253" s="19">
        <f t="shared" si="3"/>
        <v>68.493150684931507</v>
      </c>
      <c r="E253" s="23"/>
      <c r="F253" s="23"/>
      <c r="I253" s="23"/>
    </row>
    <row r="254" spans="1:9" x14ac:dyDescent="0.25">
      <c r="E254" s="1" t="s">
        <v>255</v>
      </c>
      <c r="F254" s="1">
        <v>300</v>
      </c>
      <c r="G254">
        <v>117.97117799999999</v>
      </c>
      <c r="H254">
        <v>34.402777999999998</v>
      </c>
      <c r="I254" s="1" t="s">
        <v>12</v>
      </c>
    </row>
    <row r="255" spans="1:9" x14ac:dyDescent="0.25">
      <c r="E255" s="1" t="s">
        <v>284</v>
      </c>
      <c r="F255" s="1">
        <v>300</v>
      </c>
      <c r="G255">
        <v>117.970972</v>
      </c>
      <c r="H255">
        <v>34.413086</v>
      </c>
      <c r="I255" s="1" t="s">
        <v>12</v>
      </c>
    </row>
    <row r="256" spans="1:9" s="19" customFormat="1" x14ac:dyDescent="0.25">
      <c r="A256" s="18" t="s">
        <v>536</v>
      </c>
      <c r="B256" s="19" t="s">
        <v>168</v>
      </c>
      <c r="C256" s="20">
        <f>F257+F258</f>
        <v>900</v>
      </c>
      <c r="D256" s="19">
        <f t="shared" si="3"/>
        <v>102.73972602739725</v>
      </c>
      <c r="I256" s="23"/>
    </row>
    <row r="257" spans="1:9" x14ac:dyDescent="0.25">
      <c r="E257" s="1" t="s">
        <v>165</v>
      </c>
      <c r="F257" s="1">
        <v>500</v>
      </c>
      <c r="G257">
        <v>107.477586</v>
      </c>
      <c r="H257">
        <v>31.142696000000001</v>
      </c>
      <c r="I257" s="1" t="s">
        <v>31</v>
      </c>
    </row>
    <row r="258" spans="1:9" x14ac:dyDescent="0.25">
      <c r="B258" s="9"/>
      <c r="E258" s="1" t="s">
        <v>211</v>
      </c>
      <c r="F258" s="1">
        <v>400</v>
      </c>
      <c r="G258">
        <v>121.966212</v>
      </c>
      <c r="H258">
        <v>30.311938000000001</v>
      </c>
      <c r="I258" s="10" t="s">
        <v>589</v>
      </c>
    </row>
    <row r="259" spans="1:9" s="19" customFormat="1" x14ac:dyDescent="0.25">
      <c r="A259" s="19" t="s">
        <v>488</v>
      </c>
      <c r="B259" s="19" t="s">
        <v>198</v>
      </c>
      <c r="C259" s="20">
        <f>F260</f>
        <v>450</v>
      </c>
      <c r="D259" s="19">
        <f t="shared" si="3"/>
        <v>51.369863013698627</v>
      </c>
      <c r="E259" s="23"/>
      <c r="G259" s="23"/>
      <c r="I259" s="23"/>
    </row>
    <row r="260" spans="1:9" x14ac:dyDescent="0.25">
      <c r="E260" s="1" t="s">
        <v>196</v>
      </c>
      <c r="F260" s="1">
        <v>450</v>
      </c>
      <c r="G260">
        <v>105.380093</v>
      </c>
      <c r="H260">
        <v>28.774339999999999</v>
      </c>
      <c r="I260" s="1" t="s">
        <v>31</v>
      </c>
    </row>
    <row r="261" spans="1:9" s="19" customFormat="1" x14ac:dyDescent="0.25">
      <c r="A261" s="19" t="s">
        <v>488</v>
      </c>
      <c r="B261" s="19" t="s">
        <v>388</v>
      </c>
      <c r="C261" s="20">
        <f>F262</f>
        <v>150</v>
      </c>
      <c r="D261" s="19">
        <f t="shared" si="3"/>
        <v>17.123287671232877</v>
      </c>
      <c r="E261" s="23"/>
      <c r="G261" s="23"/>
      <c r="I261" s="23"/>
    </row>
    <row r="262" spans="1:9" x14ac:dyDescent="0.25">
      <c r="E262" s="1" t="s">
        <v>386</v>
      </c>
      <c r="F262" s="1">
        <v>150</v>
      </c>
      <c r="G262">
        <v>104.807956</v>
      </c>
      <c r="H262">
        <v>31.810939999999999</v>
      </c>
      <c r="I262" s="1" t="s">
        <v>31</v>
      </c>
    </row>
    <row r="263" spans="1:9" s="19" customFormat="1" x14ac:dyDescent="0.25">
      <c r="A263" s="19" t="s">
        <v>490</v>
      </c>
      <c r="B263" s="19" t="s">
        <v>425</v>
      </c>
      <c r="C263" s="20">
        <f>F264</f>
        <v>100</v>
      </c>
      <c r="D263" s="19">
        <f t="shared" si="3"/>
        <v>11.415525114155251</v>
      </c>
      <c r="E263" s="23"/>
      <c r="F263" s="23"/>
      <c r="I263" s="23"/>
    </row>
    <row r="264" spans="1:9" x14ac:dyDescent="0.25">
      <c r="E264" s="1" t="s">
        <v>423</v>
      </c>
      <c r="F264" s="1">
        <v>100</v>
      </c>
      <c r="G264">
        <v>103.253258</v>
      </c>
      <c r="H264">
        <v>23.733599999999999</v>
      </c>
      <c r="I264" s="1" t="s">
        <v>11</v>
      </c>
    </row>
    <row r="265" spans="1:9" s="19" customFormat="1" x14ac:dyDescent="0.25">
      <c r="A265" s="18" t="s">
        <v>537</v>
      </c>
      <c r="B265" s="19" t="s">
        <v>172</v>
      </c>
      <c r="C265" s="20">
        <f>F266</f>
        <v>500</v>
      </c>
      <c r="D265" s="19">
        <f t="shared" si="3"/>
        <v>57.077625570776256</v>
      </c>
      <c r="F265" s="23"/>
      <c r="I265" s="23"/>
    </row>
    <row r="266" spans="1:9" x14ac:dyDescent="0.25">
      <c r="E266" s="1" t="s">
        <v>169</v>
      </c>
      <c r="F266" s="1">
        <v>500</v>
      </c>
      <c r="G266">
        <v>103.212125</v>
      </c>
      <c r="H266">
        <v>25.567350000000001</v>
      </c>
      <c r="I266" s="1" t="s">
        <v>11</v>
      </c>
    </row>
    <row r="267" spans="1:9" s="19" customFormat="1" x14ac:dyDescent="0.25">
      <c r="A267" s="19" t="s">
        <v>490</v>
      </c>
      <c r="B267" s="19" t="s">
        <v>214</v>
      </c>
      <c r="C267" s="20">
        <f>F269+F268</f>
        <v>500</v>
      </c>
      <c r="D267" s="19">
        <f t="shared" si="3"/>
        <v>57.077625570776256</v>
      </c>
      <c r="I267" s="23"/>
    </row>
    <row r="268" spans="1:9" x14ac:dyDescent="0.25">
      <c r="E268" s="1" t="s">
        <v>212</v>
      </c>
      <c r="F268" s="1">
        <v>400</v>
      </c>
      <c r="G268">
        <v>103.86647600000001</v>
      </c>
      <c r="H268">
        <v>25.692425</v>
      </c>
      <c r="I268" s="1" t="s">
        <v>12</v>
      </c>
    </row>
    <row r="269" spans="1:9" x14ac:dyDescent="0.25">
      <c r="E269" s="1" t="s">
        <v>431</v>
      </c>
      <c r="F269" s="1">
        <v>100</v>
      </c>
      <c r="G269">
        <v>104.049908</v>
      </c>
      <c r="H269">
        <v>24.886410999999999</v>
      </c>
      <c r="I269" s="1" t="s">
        <v>12</v>
      </c>
    </row>
    <row r="270" spans="1:9" s="19" customFormat="1" x14ac:dyDescent="0.25">
      <c r="A270" s="19" t="s">
        <v>490</v>
      </c>
      <c r="B270" s="19" t="s">
        <v>291</v>
      </c>
      <c r="C270" s="20">
        <f>F271</f>
        <v>260</v>
      </c>
      <c r="D270" s="19">
        <f t="shared" ref="D270:D312" si="4">C270*1000/8760</f>
        <v>29.680365296803654</v>
      </c>
      <c r="E270" s="23"/>
      <c r="F270" s="23"/>
      <c r="I270" s="23"/>
    </row>
    <row r="271" spans="1:9" x14ac:dyDescent="0.25">
      <c r="E271" s="1" t="s">
        <v>289</v>
      </c>
      <c r="F271" s="1">
        <v>260</v>
      </c>
      <c r="G271">
        <v>104.41279900000001</v>
      </c>
      <c r="H271">
        <v>28.637419999999999</v>
      </c>
      <c r="I271" s="1" t="s">
        <v>11</v>
      </c>
    </row>
    <row r="272" spans="1:9" s="19" customFormat="1" x14ac:dyDescent="0.25">
      <c r="A272" s="18" t="s">
        <v>492</v>
      </c>
      <c r="B272" s="18" t="s">
        <v>590</v>
      </c>
      <c r="C272" s="20">
        <f>F273+F274</f>
        <v>800</v>
      </c>
      <c r="D272" s="19">
        <f t="shared" si="4"/>
        <v>91.324200913242009</v>
      </c>
      <c r="I272" s="23"/>
    </row>
    <row r="273" spans="1:9" x14ac:dyDescent="0.25">
      <c r="E273" s="1" t="s">
        <v>180</v>
      </c>
      <c r="F273" s="1">
        <v>500</v>
      </c>
      <c r="G273">
        <v>121.262643</v>
      </c>
      <c r="H273">
        <v>39.565728999999997</v>
      </c>
      <c r="I273" s="1" t="s">
        <v>11</v>
      </c>
    </row>
    <row r="274" spans="1:9" x14ac:dyDescent="0.25">
      <c r="E274" s="1" t="s">
        <v>254</v>
      </c>
      <c r="F274" s="1">
        <v>300</v>
      </c>
      <c r="G274">
        <v>121.856891</v>
      </c>
      <c r="H274">
        <v>38.96772</v>
      </c>
      <c r="I274" s="1" t="s">
        <v>11</v>
      </c>
    </row>
    <row r="275" spans="1:9" s="19" customFormat="1" x14ac:dyDescent="0.25">
      <c r="A275" s="18" t="s">
        <v>540</v>
      </c>
      <c r="B275" s="19" t="s">
        <v>190</v>
      </c>
      <c r="C275" s="20">
        <f>F276</f>
        <v>500</v>
      </c>
      <c r="D275" s="19">
        <f t="shared" si="4"/>
        <v>57.077625570776256</v>
      </c>
      <c r="I275" s="23"/>
    </row>
    <row r="276" spans="1:9" x14ac:dyDescent="0.25">
      <c r="E276" s="1" t="s">
        <v>187</v>
      </c>
      <c r="F276" s="1">
        <v>500</v>
      </c>
      <c r="G276">
        <v>112.27871500000001</v>
      </c>
      <c r="H276">
        <v>31.021599999999999</v>
      </c>
      <c r="I276" s="1" t="s">
        <v>11</v>
      </c>
    </row>
    <row r="277" spans="1:9" s="19" customFormat="1" x14ac:dyDescent="0.25">
      <c r="A277" s="19" t="s">
        <v>493</v>
      </c>
      <c r="B277" s="19" t="s">
        <v>264</v>
      </c>
      <c r="C277" s="20">
        <f>F278+F279</f>
        <v>550</v>
      </c>
      <c r="D277" s="19">
        <f t="shared" si="4"/>
        <v>62.785388127853878</v>
      </c>
      <c r="E277" s="23"/>
      <c r="F277" s="23"/>
      <c r="I277" s="23"/>
    </row>
    <row r="278" spans="1:9" x14ac:dyDescent="0.25">
      <c r="E278" s="1" t="s">
        <v>262</v>
      </c>
      <c r="F278" s="1">
        <v>300</v>
      </c>
      <c r="G278">
        <v>111.65289900000001</v>
      </c>
      <c r="H278">
        <v>30.376840999999999</v>
      </c>
      <c r="I278" s="1" t="s">
        <v>11</v>
      </c>
    </row>
    <row r="279" spans="1:9" x14ac:dyDescent="0.25">
      <c r="E279" s="1" t="s">
        <v>298</v>
      </c>
      <c r="F279" s="1">
        <v>250</v>
      </c>
      <c r="G279">
        <v>111.838178</v>
      </c>
      <c r="H279">
        <v>30.831799</v>
      </c>
      <c r="I279" s="1" t="s">
        <v>11</v>
      </c>
    </row>
    <row r="280" spans="1:9" s="19" customFormat="1" x14ac:dyDescent="0.25">
      <c r="A280" s="18" t="s">
        <v>533</v>
      </c>
      <c r="B280" s="19" t="s">
        <v>210</v>
      </c>
      <c r="C280" s="20">
        <f>F281</f>
        <v>400</v>
      </c>
      <c r="D280" s="19">
        <f t="shared" si="4"/>
        <v>45.662100456621005</v>
      </c>
      <c r="I280" s="23"/>
    </row>
    <row r="281" spans="1:9" x14ac:dyDescent="0.25">
      <c r="E281" s="1" t="s">
        <v>207</v>
      </c>
      <c r="F281" s="1">
        <v>400</v>
      </c>
      <c r="G281">
        <v>121.970101</v>
      </c>
      <c r="H281">
        <v>30.147082000000001</v>
      </c>
      <c r="I281" s="1" t="s">
        <v>11</v>
      </c>
    </row>
    <row r="282" spans="1:9" s="19" customFormat="1" x14ac:dyDescent="0.25">
      <c r="A282" s="19" t="s">
        <v>495</v>
      </c>
      <c r="B282" s="19" t="s">
        <v>361</v>
      </c>
      <c r="C282" s="20">
        <f>F283+F284</f>
        <v>260</v>
      </c>
      <c r="D282" s="19">
        <f t="shared" si="4"/>
        <v>29.680365296803654</v>
      </c>
      <c r="E282" s="23"/>
      <c r="F282" s="23"/>
      <c r="I282" s="23"/>
    </row>
    <row r="283" spans="1:9" x14ac:dyDescent="0.25">
      <c r="E283" s="1" t="s">
        <v>359</v>
      </c>
      <c r="F283" s="1">
        <v>160</v>
      </c>
      <c r="G283">
        <v>121.630304</v>
      </c>
      <c r="H283">
        <v>30.057058000000001</v>
      </c>
      <c r="I283" s="1" t="s">
        <v>11</v>
      </c>
    </row>
    <row r="284" spans="1:9" x14ac:dyDescent="0.25">
      <c r="E284" s="1" t="s">
        <v>435</v>
      </c>
      <c r="F284" s="1">
        <v>100</v>
      </c>
      <c r="G284">
        <v>121.964776</v>
      </c>
      <c r="H284">
        <v>29.942710000000002</v>
      </c>
      <c r="I284" s="1" t="s">
        <v>11</v>
      </c>
    </row>
    <row r="285" spans="1:9" s="19" customFormat="1" x14ac:dyDescent="0.25">
      <c r="A285" s="18" t="s">
        <v>527</v>
      </c>
      <c r="B285" s="19" t="s">
        <v>231</v>
      </c>
      <c r="C285" s="20">
        <f>F286</f>
        <v>390</v>
      </c>
      <c r="D285" s="19">
        <f t="shared" si="4"/>
        <v>44.520547945205479</v>
      </c>
      <c r="I285" s="23"/>
    </row>
    <row r="286" spans="1:9" x14ac:dyDescent="0.25">
      <c r="E286" s="1" t="s">
        <v>228</v>
      </c>
      <c r="F286" s="1">
        <v>390</v>
      </c>
      <c r="G286">
        <v>114.950682</v>
      </c>
      <c r="H286">
        <v>38.560183000000002</v>
      </c>
      <c r="I286" s="1" t="s">
        <v>12</v>
      </c>
    </row>
    <row r="287" spans="1:9" s="19" customFormat="1" ht="13.2" customHeight="1" x14ac:dyDescent="0.25">
      <c r="A287" s="19" t="s">
        <v>497</v>
      </c>
      <c r="B287" s="19" t="s">
        <v>307</v>
      </c>
      <c r="C287" s="20">
        <f>F288+F289</f>
        <v>300</v>
      </c>
      <c r="D287" s="19">
        <f t="shared" si="4"/>
        <v>34.246575342465754</v>
      </c>
      <c r="E287" s="23"/>
      <c r="F287" s="23"/>
      <c r="I287" s="23"/>
    </row>
    <row r="288" spans="1:9" x14ac:dyDescent="0.25">
      <c r="E288" s="1" t="s">
        <v>305</v>
      </c>
      <c r="F288" s="1">
        <v>200</v>
      </c>
      <c r="G288">
        <v>117.8043</v>
      </c>
      <c r="H288">
        <v>38.297932000000003</v>
      </c>
      <c r="I288" s="1" t="s">
        <v>12</v>
      </c>
    </row>
    <row r="289" spans="1:9" x14ac:dyDescent="0.25">
      <c r="E289" s="1" t="s">
        <v>400</v>
      </c>
      <c r="F289" s="1">
        <v>100</v>
      </c>
      <c r="G289">
        <v>117.65600499999999</v>
      </c>
      <c r="H289">
        <v>38.368481000000003</v>
      </c>
      <c r="I289" s="1" t="s">
        <v>11</v>
      </c>
    </row>
    <row r="290" spans="1:9" s="19" customFormat="1" x14ac:dyDescent="0.25">
      <c r="A290" s="19" t="s">
        <v>497</v>
      </c>
      <c r="B290" s="19" t="s">
        <v>236</v>
      </c>
      <c r="C290" s="20">
        <f>F291+F292</f>
        <v>450</v>
      </c>
      <c r="D290" s="19">
        <f t="shared" si="4"/>
        <v>51.369863013698627</v>
      </c>
      <c r="E290" s="23"/>
      <c r="F290" s="23"/>
      <c r="I290" s="23"/>
    </row>
    <row r="291" spans="1:9" x14ac:dyDescent="0.25">
      <c r="E291" s="1" t="s">
        <v>234</v>
      </c>
      <c r="F291" s="1">
        <v>300</v>
      </c>
      <c r="G291">
        <v>114.10662499999999</v>
      </c>
      <c r="H291">
        <v>36.550288000000002</v>
      </c>
      <c r="I291" s="1" t="s">
        <v>12</v>
      </c>
    </row>
    <row r="292" spans="1:9" x14ac:dyDescent="0.25">
      <c r="E292" s="1" t="s">
        <v>365</v>
      </c>
      <c r="F292" s="1">
        <v>150</v>
      </c>
      <c r="G292">
        <v>114.11573300000001</v>
      </c>
      <c r="H292">
        <v>36.596465999999999</v>
      </c>
      <c r="I292" s="1" t="s">
        <v>12</v>
      </c>
    </row>
    <row r="293" spans="1:9" s="19" customFormat="1" x14ac:dyDescent="0.25">
      <c r="A293" s="19" t="s">
        <v>497</v>
      </c>
      <c r="B293" s="18" t="s">
        <v>591</v>
      </c>
      <c r="C293" s="20">
        <f>F294</f>
        <v>100</v>
      </c>
      <c r="D293" s="19">
        <f t="shared" si="4"/>
        <v>11.415525114155251</v>
      </c>
      <c r="E293" s="23"/>
      <c r="F293" s="23"/>
      <c r="I293" s="23"/>
    </row>
    <row r="294" spans="1:9" x14ac:dyDescent="0.25">
      <c r="E294" s="1" t="s">
        <v>398</v>
      </c>
      <c r="F294" s="1">
        <v>100</v>
      </c>
      <c r="G294">
        <v>115.816334</v>
      </c>
      <c r="H294">
        <v>37.803294000000001</v>
      </c>
      <c r="I294" s="1" t="s">
        <v>11</v>
      </c>
    </row>
    <row r="295" spans="1:9" s="19" customFormat="1" x14ac:dyDescent="0.25">
      <c r="A295" s="19" t="s">
        <v>497</v>
      </c>
      <c r="B295" s="19" t="s">
        <v>355</v>
      </c>
      <c r="C295" s="20">
        <f>F296</f>
        <v>200</v>
      </c>
      <c r="D295" s="19">
        <f t="shared" si="4"/>
        <v>22.831050228310502</v>
      </c>
      <c r="E295" s="23"/>
      <c r="F295" s="23"/>
      <c r="I295" s="23"/>
    </row>
    <row r="296" spans="1:9" x14ac:dyDescent="0.25">
      <c r="E296" s="1" t="s">
        <v>353</v>
      </c>
      <c r="F296" s="1">
        <v>200</v>
      </c>
      <c r="G296">
        <v>114.411081</v>
      </c>
      <c r="H296">
        <v>37.943997000000003</v>
      </c>
      <c r="I296" s="1" t="s">
        <v>11</v>
      </c>
    </row>
    <row r="297" spans="1:9" s="19" customFormat="1" x14ac:dyDescent="0.25">
      <c r="A297" s="19" t="s">
        <v>497</v>
      </c>
      <c r="B297" s="19" t="s">
        <v>304</v>
      </c>
      <c r="C297" s="20">
        <f>SUM(F298:F301)</f>
        <v>630</v>
      </c>
      <c r="D297" s="19">
        <f t="shared" si="4"/>
        <v>71.917808219178085</v>
      </c>
      <c r="E297" s="23"/>
      <c r="F297" s="23"/>
      <c r="I297" s="23"/>
    </row>
    <row r="298" spans="1:9" x14ac:dyDescent="0.25">
      <c r="E298" s="1" t="s">
        <v>302</v>
      </c>
      <c r="F298" s="1">
        <v>200</v>
      </c>
      <c r="G298">
        <v>119.04772800000001</v>
      </c>
      <c r="H298">
        <v>39.258068999999999</v>
      </c>
      <c r="I298" s="1" t="s">
        <v>12</v>
      </c>
    </row>
    <row r="299" spans="1:9" x14ac:dyDescent="0.25">
      <c r="E299" s="1" t="s">
        <v>343</v>
      </c>
      <c r="F299" s="1">
        <v>200</v>
      </c>
      <c r="G299">
        <v>119.101333</v>
      </c>
      <c r="H299">
        <v>39.318255999999998</v>
      </c>
      <c r="I299" s="1" t="s">
        <v>12</v>
      </c>
    </row>
    <row r="300" spans="1:9" x14ac:dyDescent="0.25">
      <c r="E300" s="1" t="s">
        <v>389</v>
      </c>
      <c r="F300" s="1">
        <v>130</v>
      </c>
      <c r="G300">
        <v>117.644961</v>
      </c>
      <c r="H300">
        <v>39.872419999999998</v>
      </c>
      <c r="I300" s="1" t="s">
        <v>12</v>
      </c>
    </row>
    <row r="301" spans="1:9" x14ac:dyDescent="0.25">
      <c r="E301" s="1" t="s">
        <v>401</v>
      </c>
      <c r="F301" s="1">
        <v>100</v>
      </c>
      <c r="G301">
        <v>118.141699</v>
      </c>
      <c r="H301">
        <v>39.471919999999997</v>
      </c>
      <c r="I301" s="1" t="s">
        <v>12</v>
      </c>
    </row>
    <row r="302" spans="1:9" s="19" customFormat="1" x14ac:dyDescent="0.25">
      <c r="A302" s="19" t="s">
        <v>499</v>
      </c>
      <c r="B302" s="19" t="s">
        <v>332</v>
      </c>
      <c r="C302" s="23">
        <v>200</v>
      </c>
      <c r="D302" s="19">
        <f t="shared" si="4"/>
        <v>22.831050228310502</v>
      </c>
      <c r="I302" s="23"/>
    </row>
    <row r="303" spans="1:9" x14ac:dyDescent="0.25">
      <c r="C303" s="1"/>
      <c r="E303" s="1" t="s">
        <v>330</v>
      </c>
      <c r="F303" s="1">
        <v>200</v>
      </c>
      <c r="G303">
        <v>105.332404</v>
      </c>
      <c r="H303">
        <v>27.334887999999999</v>
      </c>
      <c r="I303" s="1" t="s">
        <v>11</v>
      </c>
    </row>
    <row r="304" spans="1:9" s="19" customFormat="1" x14ac:dyDescent="0.25">
      <c r="A304" s="19" t="s">
        <v>499</v>
      </c>
      <c r="B304" s="19" t="s">
        <v>329</v>
      </c>
      <c r="C304" s="23">
        <v>200</v>
      </c>
      <c r="D304" s="19">
        <f t="shared" si="4"/>
        <v>22.831050228310502</v>
      </c>
      <c r="E304" s="23"/>
      <c r="F304" s="23"/>
      <c r="I304" s="23"/>
    </row>
    <row r="305" spans="1:9" x14ac:dyDescent="0.25">
      <c r="E305" s="1" t="s">
        <v>327</v>
      </c>
      <c r="F305" s="1">
        <v>200</v>
      </c>
      <c r="G305">
        <v>107.527867</v>
      </c>
      <c r="H305">
        <v>26.636021</v>
      </c>
      <c r="I305" s="1" t="s">
        <v>11</v>
      </c>
    </row>
    <row r="306" spans="1:9" s="19" customFormat="1" x14ac:dyDescent="0.25">
      <c r="A306" s="18" t="s">
        <v>538</v>
      </c>
      <c r="B306" s="19" t="s">
        <v>269</v>
      </c>
      <c r="C306" s="23">
        <v>300</v>
      </c>
      <c r="D306" s="19">
        <f t="shared" si="4"/>
        <v>34.246575342465754</v>
      </c>
      <c r="E306" s="23"/>
      <c r="F306" s="23"/>
      <c r="I306" s="23"/>
    </row>
    <row r="307" spans="1:9" x14ac:dyDescent="0.25">
      <c r="E307" s="1" t="s">
        <v>266</v>
      </c>
      <c r="F307" s="1">
        <v>300</v>
      </c>
      <c r="G307">
        <v>106.92931900000001</v>
      </c>
      <c r="H307">
        <v>27.134869999999999</v>
      </c>
      <c r="I307" s="1" t="s">
        <v>11</v>
      </c>
    </row>
    <row r="308" spans="1:9" s="19" customFormat="1" x14ac:dyDescent="0.25">
      <c r="A308" s="19" t="s">
        <v>499</v>
      </c>
      <c r="B308" s="19" t="s">
        <v>272</v>
      </c>
      <c r="C308" s="23">
        <v>300</v>
      </c>
      <c r="D308" s="19">
        <f t="shared" si="4"/>
        <v>34.246575342465754</v>
      </c>
      <c r="E308" s="23"/>
      <c r="F308" s="23"/>
      <c r="I308" s="23"/>
    </row>
    <row r="309" spans="1:9" x14ac:dyDescent="0.25">
      <c r="E309" s="1" t="s">
        <v>270</v>
      </c>
      <c r="F309" s="1">
        <v>300</v>
      </c>
      <c r="G309">
        <v>105.03825399999999</v>
      </c>
      <c r="H309">
        <v>26.546296999999999</v>
      </c>
      <c r="I309" s="1" t="s">
        <v>11</v>
      </c>
    </row>
    <row r="310" spans="1:9" s="19" customFormat="1" x14ac:dyDescent="0.25">
      <c r="A310" s="19" t="s">
        <v>499</v>
      </c>
      <c r="B310" s="19" t="s">
        <v>287</v>
      </c>
      <c r="C310" s="23">
        <v>300</v>
      </c>
      <c r="D310" s="19">
        <f t="shared" si="4"/>
        <v>34.246575342465754</v>
      </c>
      <c r="E310" s="23"/>
      <c r="F310" s="23"/>
      <c r="I310" s="23"/>
    </row>
    <row r="311" spans="1:9" ht="14.4" customHeight="1" x14ac:dyDescent="0.25">
      <c r="E311" s="1" t="s">
        <v>285</v>
      </c>
      <c r="F311" s="1">
        <v>300</v>
      </c>
      <c r="G311">
        <v>106.77640100000001</v>
      </c>
      <c r="H311">
        <v>28.106912999999999</v>
      </c>
      <c r="I311" s="1" t="s">
        <v>11</v>
      </c>
    </row>
    <row r="312" spans="1:9" s="27" customFormat="1" x14ac:dyDescent="0.25">
      <c r="A312" s="18" t="s">
        <v>592</v>
      </c>
      <c r="B312" s="18" t="s">
        <v>395</v>
      </c>
      <c r="C312" s="32">
        <v>120</v>
      </c>
      <c r="D312" s="19">
        <f t="shared" si="4"/>
        <v>13.698630136986301</v>
      </c>
      <c r="I312" s="33"/>
    </row>
    <row r="313" spans="1:9" x14ac:dyDescent="0.25">
      <c r="E313" s="11" t="s">
        <v>593</v>
      </c>
      <c r="F313" s="1">
        <v>120</v>
      </c>
      <c r="G313">
        <v>125.820886</v>
      </c>
      <c r="H313">
        <v>41.787010000000002</v>
      </c>
      <c r="I313" s="1" t="s">
        <v>11</v>
      </c>
    </row>
  </sheetData>
  <autoFilter ref="A1:I313" xr:uid="{39CE50AE-0AD4-486D-BF28-8F47884C84B1}"/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8812-8653-49C5-9271-8C5B2738A535}">
  <dimension ref="A1:N106"/>
  <sheetViews>
    <sheetView workbookViewId="0">
      <selection activeCell="D36" sqref="D36"/>
    </sheetView>
  </sheetViews>
  <sheetFormatPr defaultRowHeight="13.8" x14ac:dyDescent="0.25"/>
  <cols>
    <col min="1" max="1" width="11.77734375" customWidth="1"/>
    <col min="2" max="2" width="17.44140625" customWidth="1"/>
    <col min="3" max="3" width="13.33203125" customWidth="1"/>
    <col min="4" max="4" width="12.109375" customWidth="1"/>
    <col min="5" max="5" width="13.6640625" customWidth="1"/>
  </cols>
  <sheetData>
    <row r="1" spans="1:14" ht="14.4" thickBot="1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5">
      <c r="A2">
        <v>1</v>
      </c>
      <c r="B2" s="38" t="s">
        <v>457</v>
      </c>
      <c r="C2" s="39" t="s">
        <v>10</v>
      </c>
      <c r="D2" s="40" t="s">
        <v>578</v>
      </c>
      <c r="E2" s="39"/>
      <c r="F2" s="39"/>
      <c r="G2" s="39"/>
      <c r="H2" s="39"/>
      <c r="I2" s="39"/>
      <c r="J2" s="39"/>
      <c r="K2" s="39"/>
      <c r="L2" s="39"/>
      <c r="M2" s="39"/>
      <c r="N2" s="41"/>
    </row>
    <row r="3" spans="1:14" x14ac:dyDescent="0.25">
      <c r="A3">
        <v>2</v>
      </c>
      <c r="B3" s="42" t="s">
        <v>458</v>
      </c>
      <c r="C3" t="s">
        <v>224</v>
      </c>
      <c r="D3" t="s">
        <v>248</v>
      </c>
      <c r="E3" t="s">
        <v>40</v>
      </c>
      <c r="F3" t="s">
        <v>370</v>
      </c>
      <c r="G3" t="s">
        <v>55</v>
      </c>
      <c r="H3" t="s">
        <v>16</v>
      </c>
      <c r="I3" t="s">
        <v>25</v>
      </c>
      <c r="J3" t="s">
        <v>155</v>
      </c>
      <c r="K3" s="8" t="s">
        <v>75</v>
      </c>
      <c r="L3" t="s">
        <v>392</v>
      </c>
      <c r="N3" s="43"/>
    </row>
    <row r="4" spans="1:14" x14ac:dyDescent="0.25">
      <c r="A4">
        <v>3</v>
      </c>
      <c r="B4" s="42" t="s">
        <v>459</v>
      </c>
      <c r="C4" t="s">
        <v>128</v>
      </c>
      <c r="D4" t="s">
        <v>29</v>
      </c>
      <c r="E4" t="s">
        <v>132</v>
      </c>
      <c r="F4" t="s">
        <v>276</v>
      </c>
      <c r="G4" t="s">
        <v>20</v>
      </c>
      <c r="N4" s="43"/>
    </row>
    <row r="5" spans="1:14" x14ac:dyDescent="0.25">
      <c r="A5">
        <v>4</v>
      </c>
      <c r="B5" s="44" t="s">
        <v>462</v>
      </c>
      <c r="C5" t="s">
        <v>364</v>
      </c>
      <c r="D5" t="s">
        <v>373</v>
      </c>
      <c r="E5" t="s">
        <v>58</v>
      </c>
      <c r="F5" t="s">
        <v>416</v>
      </c>
      <c r="G5" s="9" t="s">
        <v>584</v>
      </c>
      <c r="H5" t="s">
        <v>37</v>
      </c>
      <c r="I5" t="s">
        <v>164</v>
      </c>
      <c r="N5" s="43"/>
    </row>
    <row r="6" spans="1:14" x14ac:dyDescent="0.25">
      <c r="A6">
        <v>5</v>
      </c>
      <c r="B6" s="44" t="s">
        <v>522</v>
      </c>
      <c r="C6" t="s">
        <v>340</v>
      </c>
      <c r="D6" t="s">
        <v>71</v>
      </c>
      <c r="E6" t="s">
        <v>337</v>
      </c>
      <c r="F6" t="s">
        <v>441</v>
      </c>
      <c r="G6" t="s">
        <v>193</v>
      </c>
      <c r="H6" t="s">
        <v>380</v>
      </c>
      <c r="I6" t="s">
        <v>140</v>
      </c>
      <c r="J6" s="5" t="s">
        <v>44</v>
      </c>
      <c r="K6" t="s">
        <v>175</v>
      </c>
      <c r="N6" s="43"/>
    </row>
    <row r="7" spans="1:14" x14ac:dyDescent="0.25">
      <c r="A7">
        <v>6</v>
      </c>
      <c r="B7" s="44" t="s">
        <v>541</v>
      </c>
      <c r="C7" t="s">
        <v>48</v>
      </c>
      <c r="N7" s="43"/>
    </row>
    <row r="8" spans="1:14" x14ac:dyDescent="0.25">
      <c r="A8">
        <v>7</v>
      </c>
      <c r="B8" s="44" t="s">
        <v>529</v>
      </c>
      <c r="C8" t="s">
        <v>52</v>
      </c>
      <c r="D8" t="s">
        <v>377</v>
      </c>
      <c r="E8" t="s">
        <v>120</v>
      </c>
      <c r="F8" t="s">
        <v>108</v>
      </c>
      <c r="G8" t="s">
        <v>81</v>
      </c>
      <c r="H8" t="s">
        <v>205</v>
      </c>
      <c r="I8" t="s">
        <v>316</v>
      </c>
      <c r="J8" t="s">
        <v>297</v>
      </c>
      <c r="K8" t="s">
        <v>100</v>
      </c>
      <c r="L8" t="s">
        <v>117</v>
      </c>
      <c r="M8" t="s">
        <v>84</v>
      </c>
      <c r="N8" s="43" t="s">
        <v>419</v>
      </c>
    </row>
    <row r="9" spans="1:14" x14ac:dyDescent="0.25">
      <c r="A9">
        <v>8</v>
      </c>
      <c r="B9" s="44" t="s">
        <v>471</v>
      </c>
      <c r="C9" t="s">
        <v>62</v>
      </c>
      <c r="D9" s="9" t="s">
        <v>586</v>
      </c>
      <c r="E9" t="s">
        <v>135</v>
      </c>
      <c r="N9" s="43"/>
    </row>
    <row r="10" spans="1:14" x14ac:dyDescent="0.25">
      <c r="A10">
        <v>9</v>
      </c>
      <c r="B10" s="44" t="s">
        <v>472</v>
      </c>
      <c r="C10" t="s">
        <v>66</v>
      </c>
      <c r="N10" s="43"/>
    </row>
    <row r="11" spans="1:14" x14ac:dyDescent="0.25">
      <c r="A11">
        <v>10</v>
      </c>
      <c r="B11" s="44" t="s">
        <v>473</v>
      </c>
      <c r="C11" s="9" t="s">
        <v>473</v>
      </c>
      <c r="N11" s="43"/>
    </row>
    <row r="12" spans="1:14" x14ac:dyDescent="0.25">
      <c r="A12">
        <v>11</v>
      </c>
      <c r="B12" s="44" t="s">
        <v>475</v>
      </c>
      <c r="C12" t="s">
        <v>111</v>
      </c>
      <c r="D12" t="s">
        <v>239</v>
      </c>
      <c r="E12" s="36" t="s">
        <v>221</v>
      </c>
      <c r="F12" t="s">
        <v>205</v>
      </c>
      <c r="G12" t="s">
        <v>244</v>
      </c>
      <c r="H12" t="s">
        <v>91</v>
      </c>
      <c r="I12" t="s">
        <v>283</v>
      </c>
      <c r="J12" t="s">
        <v>202</v>
      </c>
      <c r="K12" t="s">
        <v>217</v>
      </c>
      <c r="N12" s="43"/>
    </row>
    <row r="13" spans="1:14" x14ac:dyDescent="0.25">
      <c r="A13">
        <v>12</v>
      </c>
      <c r="B13" s="44" t="s">
        <v>535</v>
      </c>
      <c r="C13" s="9" t="s">
        <v>535</v>
      </c>
      <c r="N13" s="43"/>
    </row>
    <row r="14" spans="1:14" x14ac:dyDescent="0.25">
      <c r="A14">
        <v>13</v>
      </c>
      <c r="B14" s="42" t="s">
        <v>478</v>
      </c>
      <c r="C14" t="s">
        <v>352</v>
      </c>
      <c r="D14" t="s">
        <v>227</v>
      </c>
      <c r="E14" t="s">
        <v>104</v>
      </c>
      <c r="F14" t="s">
        <v>449</v>
      </c>
      <c r="G14" t="s">
        <v>408</v>
      </c>
      <c r="N14" s="43"/>
    </row>
    <row r="15" spans="1:14" x14ac:dyDescent="0.25">
      <c r="A15">
        <v>14</v>
      </c>
      <c r="B15" s="42" t="s">
        <v>480</v>
      </c>
      <c r="C15" t="s">
        <v>322</v>
      </c>
      <c r="D15" t="s">
        <v>143</v>
      </c>
      <c r="E15" t="s">
        <v>422</v>
      </c>
      <c r="F15" t="s">
        <v>178</v>
      </c>
      <c r="G15" t="s">
        <v>261</v>
      </c>
      <c r="H15" t="s">
        <v>124</v>
      </c>
      <c r="I15" t="s">
        <v>326</v>
      </c>
      <c r="N15" s="43"/>
    </row>
    <row r="16" spans="1:14" x14ac:dyDescent="0.25">
      <c r="A16">
        <v>15</v>
      </c>
      <c r="B16" s="44" t="s">
        <v>524</v>
      </c>
      <c r="C16" t="s">
        <v>147</v>
      </c>
      <c r="D16" t="s">
        <v>348</v>
      </c>
      <c r="E16" t="s">
        <v>430</v>
      </c>
      <c r="N16" s="43"/>
    </row>
    <row r="17" spans="1:14" x14ac:dyDescent="0.25">
      <c r="A17">
        <v>16</v>
      </c>
      <c r="B17" s="44" t="s">
        <v>484</v>
      </c>
      <c r="C17" s="9" t="s">
        <v>587</v>
      </c>
      <c r="N17" s="43"/>
    </row>
    <row r="18" spans="1:14" x14ac:dyDescent="0.25">
      <c r="A18">
        <v>17</v>
      </c>
      <c r="B18" s="42" t="s">
        <v>158</v>
      </c>
      <c r="C18" t="s">
        <v>158</v>
      </c>
      <c r="N18" s="43"/>
    </row>
    <row r="19" spans="1:14" x14ac:dyDescent="0.25">
      <c r="A19">
        <v>18</v>
      </c>
      <c r="B19" s="42" t="s">
        <v>486</v>
      </c>
      <c r="C19" t="s">
        <v>413</v>
      </c>
      <c r="D19" t="s">
        <v>186</v>
      </c>
      <c r="E19" s="9" t="s">
        <v>588</v>
      </c>
      <c r="F19" t="s">
        <v>257</v>
      </c>
      <c r="N19" s="43"/>
    </row>
    <row r="20" spans="1:14" x14ac:dyDescent="0.25">
      <c r="A20">
        <v>19</v>
      </c>
      <c r="B20" s="42" t="s">
        <v>488</v>
      </c>
      <c r="C20" t="s">
        <v>168</v>
      </c>
      <c r="D20" t="s">
        <v>198</v>
      </c>
      <c r="E20" t="s">
        <v>388</v>
      </c>
      <c r="N20" s="43"/>
    </row>
    <row r="21" spans="1:14" x14ac:dyDescent="0.25">
      <c r="A21">
        <v>20</v>
      </c>
      <c r="B21" s="42" t="s">
        <v>490</v>
      </c>
      <c r="C21" t="s">
        <v>425</v>
      </c>
      <c r="D21" t="s">
        <v>172</v>
      </c>
      <c r="E21" t="s">
        <v>214</v>
      </c>
      <c r="F21" t="s">
        <v>291</v>
      </c>
      <c r="N21" s="43"/>
    </row>
    <row r="22" spans="1:14" x14ac:dyDescent="0.25">
      <c r="A22">
        <v>21</v>
      </c>
      <c r="B22" s="44" t="s">
        <v>492</v>
      </c>
      <c r="C22" s="9" t="s">
        <v>590</v>
      </c>
      <c r="N22" s="43"/>
    </row>
    <row r="23" spans="1:14" x14ac:dyDescent="0.25">
      <c r="A23">
        <v>22</v>
      </c>
      <c r="B23" s="42" t="s">
        <v>493</v>
      </c>
      <c r="C23" t="s">
        <v>190</v>
      </c>
      <c r="D23" t="s">
        <v>264</v>
      </c>
      <c r="N23" s="43"/>
    </row>
    <row r="24" spans="1:14" x14ac:dyDescent="0.25">
      <c r="A24">
        <v>23</v>
      </c>
      <c r="B24" s="42" t="s">
        <v>495</v>
      </c>
      <c r="C24" t="s">
        <v>210</v>
      </c>
      <c r="D24" t="s">
        <v>361</v>
      </c>
      <c r="N24" s="43"/>
    </row>
    <row r="25" spans="1:14" x14ac:dyDescent="0.25">
      <c r="A25">
        <v>24</v>
      </c>
      <c r="B25" s="44" t="s">
        <v>527</v>
      </c>
      <c r="C25" t="s">
        <v>231</v>
      </c>
      <c r="D25" t="s">
        <v>307</v>
      </c>
      <c r="E25" t="s">
        <v>236</v>
      </c>
      <c r="F25" s="9" t="s">
        <v>591</v>
      </c>
      <c r="G25" t="s">
        <v>355</v>
      </c>
      <c r="H25" t="s">
        <v>304</v>
      </c>
      <c r="N25" s="43"/>
    </row>
    <row r="26" spans="1:14" x14ac:dyDescent="0.25">
      <c r="A26">
        <v>25</v>
      </c>
      <c r="B26" s="44" t="s">
        <v>538</v>
      </c>
      <c r="C26" t="s">
        <v>332</v>
      </c>
      <c r="D26" t="s">
        <v>329</v>
      </c>
      <c r="E26" t="s">
        <v>269</v>
      </c>
      <c r="F26" t="s">
        <v>272</v>
      </c>
      <c r="G26" t="s">
        <v>287</v>
      </c>
      <c r="N26" s="43"/>
    </row>
    <row r="27" spans="1:14" ht="14.4" thickBot="1" x14ac:dyDescent="0.3">
      <c r="A27">
        <v>26</v>
      </c>
      <c r="B27" s="45" t="s">
        <v>592</v>
      </c>
      <c r="C27" s="46" t="s">
        <v>395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8"/>
    </row>
    <row r="28" spans="1:14" x14ac:dyDescent="0.25">
      <c r="C28" s="34"/>
    </row>
    <row r="29" spans="1:14" x14ac:dyDescent="0.25">
      <c r="C29" s="34"/>
    </row>
    <row r="30" spans="1:14" x14ac:dyDescent="0.25">
      <c r="C30" s="34"/>
    </row>
    <row r="31" spans="1:14" x14ac:dyDescent="0.25">
      <c r="C31" s="34"/>
    </row>
    <row r="32" spans="1:14" x14ac:dyDescent="0.25">
      <c r="B32" s="5"/>
      <c r="C32" s="34"/>
    </row>
    <row r="33" spans="1:3" x14ac:dyDescent="0.25">
      <c r="C33" s="34"/>
    </row>
    <row r="34" spans="1:3" x14ac:dyDescent="0.25">
      <c r="A34" s="9"/>
      <c r="C34" s="34"/>
    </row>
    <row r="35" spans="1:3" x14ac:dyDescent="0.25">
      <c r="A35" s="9"/>
      <c r="C35" s="35"/>
    </row>
    <row r="36" spans="1:3" x14ac:dyDescent="0.25">
      <c r="A36" s="9"/>
      <c r="C36" s="34"/>
    </row>
    <row r="37" spans="1:3" x14ac:dyDescent="0.25">
      <c r="C37" s="34"/>
    </row>
    <row r="38" spans="1:3" x14ac:dyDescent="0.25">
      <c r="A38" s="9"/>
      <c r="C38" s="34"/>
    </row>
    <row r="39" spans="1:3" x14ac:dyDescent="0.25">
      <c r="A39" s="9"/>
      <c r="C39" s="34"/>
    </row>
    <row r="40" spans="1:3" x14ac:dyDescent="0.25">
      <c r="A40" s="9"/>
      <c r="C40" s="34"/>
    </row>
    <row r="41" spans="1:3" x14ac:dyDescent="0.25">
      <c r="A41" s="9"/>
      <c r="C41" s="34"/>
    </row>
    <row r="42" spans="1:3" x14ac:dyDescent="0.25">
      <c r="A42" s="9"/>
      <c r="C42" s="34"/>
    </row>
    <row r="43" spans="1:3" x14ac:dyDescent="0.25">
      <c r="A43" s="9"/>
      <c r="C43" s="34"/>
    </row>
    <row r="44" spans="1:3" x14ac:dyDescent="0.25">
      <c r="A44" s="9"/>
      <c r="C44" s="34"/>
    </row>
    <row r="45" spans="1:3" x14ac:dyDescent="0.25">
      <c r="A45" s="9"/>
      <c r="C45" s="34"/>
    </row>
    <row r="46" spans="1:3" x14ac:dyDescent="0.25">
      <c r="A46" s="9"/>
      <c r="C46" s="34"/>
    </row>
    <row r="47" spans="1:3" x14ac:dyDescent="0.25">
      <c r="A47" s="9"/>
      <c r="C47" s="34"/>
    </row>
    <row r="48" spans="1:3" x14ac:dyDescent="0.25">
      <c r="A48" s="9"/>
      <c r="B48" s="9"/>
      <c r="C48" s="34"/>
    </row>
    <row r="49" spans="1:3" x14ac:dyDescent="0.25">
      <c r="A49" s="9"/>
      <c r="C49" s="34"/>
    </row>
    <row r="50" spans="1:3" x14ac:dyDescent="0.25">
      <c r="A50" s="9"/>
      <c r="C50" s="35"/>
    </row>
    <row r="51" spans="1:3" x14ac:dyDescent="0.25">
      <c r="A51" s="9"/>
      <c r="B51" s="9"/>
      <c r="C51" s="35"/>
    </row>
    <row r="52" spans="1:3" x14ac:dyDescent="0.25">
      <c r="A52" s="9"/>
      <c r="C52" s="34"/>
    </row>
    <row r="53" spans="1:3" x14ac:dyDescent="0.25">
      <c r="A53" s="9"/>
      <c r="C53" s="34"/>
    </row>
    <row r="54" spans="1:3" x14ac:dyDescent="0.25">
      <c r="A54" s="36"/>
      <c r="B54" s="36"/>
      <c r="C54" s="37"/>
    </row>
    <row r="55" spans="1:3" x14ac:dyDescent="0.25">
      <c r="A55" s="9"/>
      <c r="C55" s="34"/>
    </row>
    <row r="56" spans="1:3" x14ac:dyDescent="0.25">
      <c r="A56" s="9"/>
      <c r="C56" s="34"/>
    </row>
    <row r="57" spans="1:3" x14ac:dyDescent="0.25">
      <c r="A57" s="9"/>
      <c r="C57" s="34"/>
    </row>
    <row r="58" spans="1:3" x14ac:dyDescent="0.25">
      <c r="A58" s="9"/>
      <c r="C58" s="34"/>
    </row>
    <row r="59" spans="1:3" x14ac:dyDescent="0.25">
      <c r="A59" s="9"/>
      <c r="C59" s="34"/>
    </row>
    <row r="60" spans="1:3" x14ac:dyDescent="0.25">
      <c r="A60" s="9"/>
      <c r="C60" s="34"/>
    </row>
    <row r="61" spans="1:3" x14ac:dyDescent="0.25">
      <c r="A61" s="9"/>
      <c r="B61" s="9"/>
      <c r="C61" s="34"/>
    </row>
    <row r="62" spans="1:3" x14ac:dyDescent="0.25">
      <c r="C62" s="34"/>
    </row>
    <row r="63" spans="1:3" x14ac:dyDescent="0.25">
      <c r="C63" s="34"/>
    </row>
    <row r="64" spans="1:3" x14ac:dyDescent="0.25">
      <c r="A64" s="9"/>
      <c r="C64" s="34"/>
    </row>
    <row r="65" spans="1:3" x14ac:dyDescent="0.25">
      <c r="C65" s="34"/>
    </row>
    <row r="66" spans="1:3" x14ac:dyDescent="0.25">
      <c r="C66" s="34"/>
    </row>
    <row r="67" spans="1:3" x14ac:dyDescent="0.25">
      <c r="C67" s="34"/>
    </row>
    <row r="68" spans="1:3" x14ac:dyDescent="0.25">
      <c r="C68" s="34"/>
    </row>
    <row r="69" spans="1:3" x14ac:dyDescent="0.25">
      <c r="C69" s="34"/>
    </row>
    <row r="70" spans="1:3" x14ac:dyDescent="0.25">
      <c r="C70" s="34"/>
    </row>
    <row r="71" spans="1:3" x14ac:dyDescent="0.25">
      <c r="C71" s="34"/>
    </row>
    <row r="72" spans="1:3" x14ac:dyDescent="0.25">
      <c r="A72" s="9"/>
      <c r="C72" s="34"/>
    </row>
    <row r="73" spans="1:3" x14ac:dyDescent="0.25">
      <c r="C73" s="34"/>
    </row>
    <row r="74" spans="1:3" x14ac:dyDescent="0.25">
      <c r="A74" s="9"/>
      <c r="C74" s="34"/>
    </row>
    <row r="75" spans="1:3" x14ac:dyDescent="0.25">
      <c r="C75" s="34"/>
    </row>
    <row r="76" spans="1:3" x14ac:dyDescent="0.25">
      <c r="C76" s="34"/>
    </row>
    <row r="77" spans="1:3" x14ac:dyDescent="0.25">
      <c r="A77" s="9"/>
      <c r="B77" s="9"/>
      <c r="C77" s="34"/>
    </row>
    <row r="78" spans="1:3" x14ac:dyDescent="0.25">
      <c r="C78" s="34"/>
    </row>
    <row r="79" spans="1:3" x14ac:dyDescent="0.25">
      <c r="C79" s="34"/>
    </row>
    <row r="80" spans="1:3" x14ac:dyDescent="0.25">
      <c r="C80" s="34"/>
    </row>
    <row r="81" spans="1:3" x14ac:dyDescent="0.25">
      <c r="A81" s="9"/>
      <c r="B81" s="9"/>
      <c r="C81" s="34"/>
    </row>
    <row r="82" spans="1:3" x14ac:dyDescent="0.25">
      <c r="C82" s="34"/>
    </row>
    <row r="83" spans="1:3" x14ac:dyDescent="0.25">
      <c r="A83" s="9"/>
      <c r="C83" s="34"/>
    </row>
    <row r="84" spans="1:3" x14ac:dyDescent="0.25">
      <c r="C84" s="34"/>
    </row>
    <row r="85" spans="1:3" x14ac:dyDescent="0.25">
      <c r="C85" s="34"/>
    </row>
    <row r="86" spans="1:3" x14ac:dyDescent="0.25">
      <c r="C86" s="34"/>
    </row>
    <row r="87" spans="1:3" x14ac:dyDescent="0.25">
      <c r="A87" s="9"/>
      <c r="C87" s="34"/>
    </row>
    <row r="88" spans="1:3" x14ac:dyDescent="0.25">
      <c r="C88" s="34"/>
    </row>
    <row r="89" spans="1:3" x14ac:dyDescent="0.25">
      <c r="C89" s="34"/>
    </row>
    <row r="90" spans="1:3" x14ac:dyDescent="0.25">
      <c r="A90" s="9"/>
      <c r="B90" s="9"/>
      <c r="C90" s="34"/>
    </row>
    <row r="91" spans="1:3" x14ac:dyDescent="0.25">
      <c r="A91" s="9"/>
      <c r="C91" s="34"/>
    </row>
    <row r="92" spans="1:3" x14ac:dyDescent="0.25">
      <c r="C92" s="34"/>
    </row>
    <row r="93" spans="1:3" x14ac:dyDescent="0.25">
      <c r="A93" s="9"/>
      <c r="C93" s="34"/>
    </row>
    <row r="94" spans="1:3" x14ac:dyDescent="0.25">
      <c r="C94" s="34"/>
    </row>
    <row r="95" spans="1:3" x14ac:dyDescent="0.25">
      <c r="A95" s="9"/>
      <c r="C95" s="34"/>
    </row>
    <row r="96" spans="1:3" x14ac:dyDescent="0.25">
      <c r="C96" s="34"/>
    </row>
    <row r="97" spans="1:3" x14ac:dyDescent="0.25">
      <c r="C97" s="34"/>
    </row>
    <row r="98" spans="1:3" x14ac:dyDescent="0.25">
      <c r="B98" s="9"/>
      <c r="C98" s="34"/>
    </row>
    <row r="99" spans="1:3" x14ac:dyDescent="0.25">
      <c r="C99" s="34"/>
    </row>
    <row r="100" spans="1:3" x14ac:dyDescent="0.25">
      <c r="C100" s="34"/>
    </row>
    <row r="101" spans="1:3" x14ac:dyDescent="0.25">
      <c r="C101" s="1"/>
    </row>
    <row r="102" spans="1:3" x14ac:dyDescent="0.25">
      <c r="C102" s="1"/>
    </row>
    <row r="103" spans="1:3" x14ac:dyDescent="0.25">
      <c r="A103" s="9"/>
      <c r="C103" s="1"/>
    </row>
    <row r="104" spans="1:3" x14ac:dyDescent="0.25">
      <c r="C104" s="1"/>
    </row>
    <row r="105" spans="1:3" x14ac:dyDescent="0.25">
      <c r="C105" s="1"/>
    </row>
    <row r="106" spans="1:3" x14ac:dyDescent="0.25">
      <c r="A106" s="9"/>
      <c r="B106" s="9"/>
      <c r="C106" s="1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6ABA-3E6A-4D36-ACD8-88814223393F}">
  <dimension ref="A1:N27"/>
  <sheetViews>
    <sheetView zoomScale="85" zoomScaleNormal="85" workbookViewId="0">
      <selection activeCell="Q11" sqref="Q11"/>
    </sheetView>
  </sheetViews>
  <sheetFormatPr defaultColWidth="8.88671875" defaultRowHeight="13.8" x14ac:dyDescent="0.25"/>
  <cols>
    <col min="1" max="1" width="9" bestFit="1" customWidth="1"/>
    <col min="3" max="3" width="12.21875" bestFit="1" customWidth="1"/>
    <col min="4" max="4" width="11.109375" bestFit="1" customWidth="1"/>
    <col min="5" max="6" width="9" bestFit="1" customWidth="1"/>
    <col min="7" max="8" width="9.88671875" bestFit="1" customWidth="1"/>
    <col min="9" max="14" width="9" bestFit="1" customWidth="1"/>
  </cols>
  <sheetData>
    <row r="1" spans="1:14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5">
      <c r="A2">
        <v>1</v>
      </c>
      <c r="B2" s="50" t="s">
        <v>457</v>
      </c>
      <c r="C2" s="51">
        <f>Yr!C2*1000</f>
        <v>11740000</v>
      </c>
      <c r="D2" s="51">
        <f>Yr!D2*1000</f>
        <v>150000</v>
      </c>
      <c r="E2" s="51">
        <f>Yr!E2*1000</f>
        <v>0</v>
      </c>
      <c r="F2" s="51">
        <f>Yr!F2*1000</f>
        <v>0</v>
      </c>
      <c r="G2" s="51">
        <f>Yr!G2*1000</f>
        <v>0</v>
      </c>
      <c r="H2" s="51">
        <f>Yr!H2*1000</f>
        <v>0</v>
      </c>
      <c r="I2" s="51">
        <f>Yr!I2*1000</f>
        <v>0</v>
      </c>
      <c r="J2" s="51">
        <f>Yr!J2*1000</f>
        <v>0</v>
      </c>
      <c r="K2" s="51">
        <f>Yr!K2*1000</f>
        <v>0</v>
      </c>
      <c r="L2" s="51">
        <f>Yr!L2*1000</f>
        <v>0</v>
      </c>
      <c r="M2" s="51">
        <f>Yr!M2*1000</f>
        <v>0</v>
      </c>
      <c r="N2" s="51">
        <f>Yr!N2*1000</f>
        <v>0</v>
      </c>
    </row>
    <row r="3" spans="1:14" x14ac:dyDescent="0.25">
      <c r="A3">
        <v>2</v>
      </c>
      <c r="B3" s="54" t="s">
        <v>458</v>
      </c>
      <c r="C3" s="51">
        <f>Yr!C3*1000</f>
        <v>700000</v>
      </c>
      <c r="D3" s="51">
        <f>Yr!D3*1000</f>
        <v>300000</v>
      </c>
      <c r="E3" s="51">
        <f>Yr!E3*1000</f>
        <v>2100000</v>
      </c>
      <c r="F3" s="51">
        <f>Yr!F3*1000</f>
        <v>150000</v>
      </c>
      <c r="G3" s="51">
        <f>Yr!G3*1000</f>
        <v>1680000</v>
      </c>
      <c r="H3" s="51">
        <f>Yr!H3*1000</f>
        <v>11470000</v>
      </c>
      <c r="I3" s="51">
        <f>Yr!I3*1000</f>
        <v>3300000</v>
      </c>
      <c r="J3" s="51">
        <f>Yr!J3*1000</f>
        <v>1700000</v>
      </c>
      <c r="K3" s="51">
        <f>Yr!K3*1000</f>
        <v>1170000</v>
      </c>
      <c r="L3" s="51">
        <f>Yr!L3*1000</f>
        <v>120000</v>
      </c>
      <c r="M3" s="51">
        <f>Yr!N3*1000</f>
        <v>0</v>
      </c>
      <c r="N3" s="51">
        <v>0</v>
      </c>
    </row>
    <row r="4" spans="1:14" x14ac:dyDescent="0.25">
      <c r="A4">
        <v>3</v>
      </c>
      <c r="B4" s="54" t="s">
        <v>459</v>
      </c>
      <c r="C4" s="51">
        <f>Yr!C4*1000</f>
        <v>600000</v>
      </c>
      <c r="D4" s="51">
        <f>Yr!D4*1000</f>
        <v>4400000</v>
      </c>
      <c r="E4" s="51">
        <f>Yr!E4*1000</f>
        <v>1000000</v>
      </c>
      <c r="F4" s="51">
        <f>Yr!F4*1000</f>
        <v>2300000</v>
      </c>
      <c r="G4" s="51">
        <f>Yr!G4*1000</f>
        <v>10460000</v>
      </c>
      <c r="H4" s="51">
        <f>Yr!H4*1000</f>
        <v>0</v>
      </c>
      <c r="I4" s="51">
        <f>Yr!I4*1000</f>
        <v>0</v>
      </c>
      <c r="J4" s="51">
        <f>Yr!J4*1000</f>
        <v>0</v>
      </c>
      <c r="K4" s="51">
        <f>Yr!K4*1000</f>
        <v>0</v>
      </c>
      <c r="L4" s="51">
        <f>Yr!L4*1000</f>
        <v>0</v>
      </c>
      <c r="M4" s="51">
        <f>Yr!M4*1000</f>
        <v>0</v>
      </c>
      <c r="N4" s="51">
        <f>Yr!N4*1000</f>
        <v>0</v>
      </c>
    </row>
    <row r="5" spans="1:14" x14ac:dyDescent="0.25">
      <c r="A5">
        <v>4</v>
      </c>
      <c r="B5" s="57" t="s">
        <v>462</v>
      </c>
      <c r="C5" s="51">
        <f>Yr!C5*1000</f>
        <v>160000</v>
      </c>
      <c r="D5" s="51">
        <f>Yr!D5*1000</f>
        <v>150000</v>
      </c>
      <c r="E5" s="51">
        <f>Yr!E5*1000</f>
        <v>2000000</v>
      </c>
      <c r="F5" s="51">
        <f>Yr!F5*1000</f>
        <v>100000</v>
      </c>
      <c r="G5" s="51">
        <f>Yr!G5*1000</f>
        <v>900000</v>
      </c>
      <c r="H5" s="51">
        <f>Yr!H5*1000</f>
        <v>1800000</v>
      </c>
      <c r="I5" s="51">
        <f>Yr!I5*1000</f>
        <v>500000</v>
      </c>
      <c r="J5" s="51">
        <f>Yr!J5*1000</f>
        <v>0</v>
      </c>
      <c r="K5" s="51">
        <f>Yr!K5*1000</f>
        <v>0</v>
      </c>
      <c r="L5" s="51">
        <f>Yr!L5*1000</f>
        <v>0</v>
      </c>
      <c r="M5" s="51">
        <f>Yr!M5*1000</f>
        <v>0</v>
      </c>
      <c r="N5" s="51">
        <f>Yr!N5*1000</f>
        <v>0</v>
      </c>
    </row>
    <row r="6" spans="1:14" x14ac:dyDescent="0.25">
      <c r="A6">
        <v>5</v>
      </c>
      <c r="B6" s="57" t="s">
        <v>522</v>
      </c>
      <c r="C6" s="51">
        <f>Yr!C6*1000</f>
        <v>400000</v>
      </c>
      <c r="D6" s="51">
        <f>Yr!D6*1000</f>
        <v>1200000</v>
      </c>
      <c r="E6" s="51">
        <f>Yr!E6*1000</f>
        <v>200000</v>
      </c>
      <c r="F6" s="51">
        <f>Yr!F6*1000</f>
        <v>85000</v>
      </c>
      <c r="G6" s="51">
        <f>Yr!G6*1000</f>
        <v>480000</v>
      </c>
      <c r="H6" s="51">
        <f>Yr!H6*1000</f>
        <v>150000</v>
      </c>
      <c r="I6" s="51">
        <f>Yr!I6*1000</f>
        <v>600000</v>
      </c>
      <c r="J6" s="51">
        <f>Yr!J6*1000</f>
        <v>2100000</v>
      </c>
      <c r="K6" s="51">
        <f>Yr!K6*1000</f>
        <v>500000</v>
      </c>
      <c r="L6" s="51">
        <f>Yr!L6*1000</f>
        <v>0</v>
      </c>
      <c r="M6" s="51">
        <f>Yr!M6*1000</f>
        <v>0</v>
      </c>
      <c r="N6" s="51">
        <f>Yr!N6*1000</f>
        <v>0</v>
      </c>
    </row>
    <row r="7" spans="1:14" x14ac:dyDescent="0.25">
      <c r="A7">
        <v>6</v>
      </c>
      <c r="B7" s="57" t="s">
        <v>541</v>
      </c>
      <c r="C7" s="51">
        <f>Yr!C7*1000</f>
        <v>1800000</v>
      </c>
      <c r="D7" s="51">
        <f>Yr!D7*1000</f>
        <v>0</v>
      </c>
      <c r="E7" s="51">
        <f>Yr!E7*1000</f>
        <v>0</v>
      </c>
      <c r="F7" s="51">
        <f>Yr!F7*1000</f>
        <v>0</v>
      </c>
      <c r="G7" s="51">
        <f>Yr!G7*1000</f>
        <v>0</v>
      </c>
      <c r="H7" s="51">
        <f>Yr!H7*1000</f>
        <v>0</v>
      </c>
      <c r="I7" s="51">
        <f>Yr!I7*1000</f>
        <v>0</v>
      </c>
      <c r="J7" s="51">
        <f>Yr!J7*1000</f>
        <v>0</v>
      </c>
      <c r="K7" s="51">
        <f>Yr!K7*1000</f>
        <v>0</v>
      </c>
      <c r="L7" s="51">
        <f>Yr!L7*1000</f>
        <v>0</v>
      </c>
      <c r="M7" s="51">
        <f>Yr!M7*1000</f>
        <v>0</v>
      </c>
      <c r="N7" s="51">
        <f>Yr!N7*1000</f>
        <v>0</v>
      </c>
    </row>
    <row r="8" spans="1:14" x14ac:dyDescent="0.25">
      <c r="A8">
        <v>7</v>
      </c>
      <c r="B8" s="57" t="s">
        <v>529</v>
      </c>
      <c r="C8" s="51">
        <f>Yr!C8*1000</f>
        <v>1900000</v>
      </c>
      <c r="D8" s="51">
        <f>Yr!D8*1000</f>
        <v>150000</v>
      </c>
      <c r="E8" s="51">
        <f>Yr!E8*1000</f>
        <v>600000</v>
      </c>
      <c r="F8" s="51">
        <f>Yr!F8*1000</f>
        <v>1270000</v>
      </c>
      <c r="G8" s="51">
        <f>Yr!G8*1000</f>
        <v>950000</v>
      </c>
      <c r="H8" s="51">
        <f>Yr!H8*1000</f>
        <v>200000</v>
      </c>
      <c r="I8" s="51">
        <f>Yr!I8*1000</f>
        <v>200000</v>
      </c>
      <c r="J8" s="51">
        <f>Yr!J8*1000</f>
        <v>400000</v>
      </c>
      <c r="K8" s="51">
        <f>Yr!K8*1000</f>
        <v>750000</v>
      </c>
      <c r="L8" s="51">
        <f>Yr!L8*1000</f>
        <v>600000</v>
      </c>
      <c r="M8" s="51">
        <f>Yr!M8*1000</f>
        <v>1470000</v>
      </c>
      <c r="N8" s="51">
        <f>Yr!N8*1000</f>
        <v>100000</v>
      </c>
    </row>
    <row r="9" spans="1:14" x14ac:dyDescent="0.25">
      <c r="A9">
        <v>8</v>
      </c>
      <c r="B9" s="57" t="s">
        <v>471</v>
      </c>
      <c r="C9" s="51">
        <f>Yr!C9*1000</f>
        <v>1400000</v>
      </c>
      <c r="D9" s="51">
        <f>Yr!D9*1000</f>
        <v>800000</v>
      </c>
      <c r="E9" s="51">
        <f>Yr!E9*1000</f>
        <v>1020000</v>
      </c>
      <c r="F9" s="51">
        <f>Yr!F9*1000</f>
        <v>0</v>
      </c>
      <c r="G9" s="51">
        <f>Yr!G9*1000</f>
        <v>0</v>
      </c>
      <c r="H9" s="51">
        <f>Yr!H9*1000</f>
        <v>0</v>
      </c>
      <c r="I9" s="51">
        <f>Yr!I9*1000</f>
        <v>0</v>
      </c>
      <c r="J9" s="51">
        <f>Yr!J9*1000</f>
        <v>0</v>
      </c>
      <c r="K9" s="51">
        <f>Yr!K9*1000</f>
        <v>0</v>
      </c>
      <c r="L9" s="51">
        <f>Yr!L9*1000</f>
        <v>0</v>
      </c>
      <c r="M9" s="51">
        <f>Yr!M9*1000</f>
        <v>0</v>
      </c>
      <c r="N9" s="51">
        <f>Yr!N9*1000</f>
        <v>0</v>
      </c>
    </row>
    <row r="10" spans="1:14" x14ac:dyDescent="0.25">
      <c r="A10">
        <v>9</v>
      </c>
      <c r="B10" s="57" t="s">
        <v>472</v>
      </c>
      <c r="C10" s="51">
        <f>Yr!C10*1000</f>
        <v>1400000</v>
      </c>
      <c r="D10" s="51">
        <f>Yr!D10*1000</f>
        <v>0</v>
      </c>
      <c r="E10" s="51">
        <f>Yr!E10*1000</f>
        <v>0</v>
      </c>
      <c r="F10" s="51">
        <f>Yr!F10*1000</f>
        <v>0</v>
      </c>
      <c r="G10" s="51">
        <f>Yr!G10*1000</f>
        <v>0</v>
      </c>
      <c r="H10" s="51">
        <f>Yr!H10*1000</f>
        <v>0</v>
      </c>
      <c r="I10" s="51">
        <f>Yr!I10*1000</f>
        <v>0</v>
      </c>
      <c r="J10" s="51">
        <f>Yr!J10*1000</f>
        <v>0</v>
      </c>
      <c r="K10" s="51">
        <f>Yr!K10*1000</f>
        <v>0</v>
      </c>
      <c r="L10" s="51">
        <f>Yr!L10*1000</f>
        <v>0</v>
      </c>
      <c r="M10" s="51">
        <f>Yr!M10*1000</f>
        <v>0</v>
      </c>
      <c r="N10" s="51">
        <f>Yr!N10*1000</f>
        <v>0</v>
      </c>
    </row>
    <row r="11" spans="1:14" x14ac:dyDescent="0.25">
      <c r="A11">
        <v>10</v>
      </c>
      <c r="B11" s="57" t="s">
        <v>473</v>
      </c>
      <c r="C11" s="51">
        <f>Yr!C11*1000</f>
        <v>1000000</v>
      </c>
      <c r="D11" s="51">
        <f>Yr!D11*1000</f>
        <v>0</v>
      </c>
      <c r="E11" s="51">
        <f>Yr!E11*1000</f>
        <v>0</v>
      </c>
      <c r="F11" s="51">
        <f>Yr!F11*1000</f>
        <v>0</v>
      </c>
      <c r="G11" s="51">
        <f>Yr!G11*1000</f>
        <v>0</v>
      </c>
      <c r="H11" s="51">
        <f>Yr!H11*1000</f>
        <v>0</v>
      </c>
      <c r="I11" s="51">
        <f>Yr!I11*1000</f>
        <v>0</v>
      </c>
      <c r="J11" s="51">
        <f>Yr!J11*1000</f>
        <v>0</v>
      </c>
      <c r="K11" s="51">
        <f>Yr!K11*1000</f>
        <v>0</v>
      </c>
      <c r="L11" s="51">
        <f>Yr!L11*1000</f>
        <v>0</v>
      </c>
      <c r="M11" s="51">
        <f>Yr!M11*1000</f>
        <v>0</v>
      </c>
      <c r="N11" s="51">
        <f>Yr!N11*1000</f>
        <v>0</v>
      </c>
    </row>
    <row r="12" spans="1:14" x14ac:dyDescent="0.25">
      <c r="A12">
        <v>11</v>
      </c>
      <c r="B12" s="57" t="s">
        <v>475</v>
      </c>
      <c r="C12" s="51">
        <f>Yr!C12*1000</f>
        <v>600000</v>
      </c>
      <c r="D12" s="51">
        <f>Yr!D12*1000</f>
        <v>300000</v>
      </c>
      <c r="E12" s="51">
        <f>Yr!E12*1000</f>
        <v>1250000</v>
      </c>
      <c r="F12" s="51">
        <f>Yr!F12*1000</f>
        <v>1800000</v>
      </c>
      <c r="G12" s="51">
        <f>Yr!G12*1000</f>
        <v>1100000</v>
      </c>
      <c r="H12" s="51">
        <f>Yr!H12*1000</f>
        <v>900000</v>
      </c>
      <c r="I12" s="51">
        <f>Yr!I12*1000</f>
        <v>600000</v>
      </c>
      <c r="J12" s="51">
        <f>Yr!J12*1000</f>
        <v>700000</v>
      </c>
      <c r="K12" s="51">
        <f>Yr!K12*1000</f>
        <v>500000</v>
      </c>
      <c r="L12" s="51">
        <f>Yr!L12*1000</f>
        <v>0</v>
      </c>
      <c r="M12" s="51">
        <f>Yr!M12*1000</f>
        <v>0</v>
      </c>
      <c r="N12" s="51">
        <f>Yr!N12*1000</f>
        <v>0</v>
      </c>
    </row>
    <row r="13" spans="1:14" x14ac:dyDescent="0.25">
      <c r="A13">
        <v>12</v>
      </c>
      <c r="B13" s="57" t="s">
        <v>535</v>
      </c>
      <c r="C13" s="51">
        <f>Yr!C13*1000</f>
        <v>2470000</v>
      </c>
      <c r="D13" s="51">
        <f>Yr!D13*1000</f>
        <v>0</v>
      </c>
      <c r="E13" s="51">
        <f>Yr!E13*1000</f>
        <v>0</v>
      </c>
      <c r="F13" s="51">
        <f>Yr!F13*1000</f>
        <v>0</v>
      </c>
      <c r="G13" s="51">
        <f>Yr!G13*1000</f>
        <v>0</v>
      </c>
      <c r="H13" s="51">
        <f>Yr!H13*1000</f>
        <v>0</v>
      </c>
      <c r="I13" s="51">
        <f>Yr!I13*1000</f>
        <v>0</v>
      </c>
      <c r="J13" s="51">
        <f>Yr!J13*1000</f>
        <v>0</v>
      </c>
      <c r="K13" s="51">
        <f>Yr!K13*1000</f>
        <v>0</v>
      </c>
      <c r="L13" s="51">
        <f>Yr!L13*1000</f>
        <v>0</v>
      </c>
      <c r="M13" s="51">
        <f>Yr!M13*1000</f>
        <v>0</v>
      </c>
      <c r="N13" s="51">
        <f>Yr!N13*1000</f>
        <v>0</v>
      </c>
    </row>
    <row r="14" spans="1:14" x14ac:dyDescent="0.25">
      <c r="A14">
        <v>13</v>
      </c>
      <c r="B14" s="54" t="s">
        <v>478</v>
      </c>
      <c r="C14" s="51">
        <f>Yr!C14*1000</f>
        <v>200000</v>
      </c>
      <c r="D14" s="51">
        <f>Yr!D14*1000</f>
        <v>390000</v>
      </c>
      <c r="E14" s="51">
        <f>Yr!E14*1000</f>
        <v>980000</v>
      </c>
      <c r="F14" s="51">
        <f>Yr!F14*1000</f>
        <v>30000</v>
      </c>
      <c r="G14" s="51">
        <f>Yr!G14*1000</f>
        <v>165000</v>
      </c>
      <c r="H14" s="51">
        <f>Yr!H14*1000</f>
        <v>0</v>
      </c>
      <c r="I14" s="51">
        <f>Yr!I14*1000</f>
        <v>0</v>
      </c>
      <c r="J14" s="51">
        <f>Yr!J14*1000</f>
        <v>0</v>
      </c>
      <c r="K14" s="51">
        <f>Yr!K14*1000</f>
        <v>0</v>
      </c>
      <c r="L14" s="51">
        <f>Yr!L14*1000</f>
        <v>0</v>
      </c>
      <c r="M14" s="51">
        <f>Yr!M14*1000</f>
        <v>0</v>
      </c>
      <c r="N14" s="51">
        <f>Yr!N14*1000</f>
        <v>0</v>
      </c>
    </row>
    <row r="15" spans="1:14" x14ac:dyDescent="0.25">
      <c r="A15">
        <v>14</v>
      </c>
      <c r="B15" s="54" t="s">
        <v>480</v>
      </c>
      <c r="C15" s="51">
        <f>Yr!C15*1000</f>
        <v>310000</v>
      </c>
      <c r="D15" s="51">
        <f>Yr!D15*1000</f>
        <v>800000</v>
      </c>
      <c r="E15" s="51">
        <f>Yr!E15*1000</f>
        <v>100000</v>
      </c>
      <c r="F15" s="51">
        <f>Yr!F15*1000</f>
        <v>1200000</v>
      </c>
      <c r="G15" s="51">
        <f>Yr!G15*1000</f>
        <v>540000</v>
      </c>
      <c r="H15" s="51">
        <f>Yr!H15*1000</f>
        <v>1500000</v>
      </c>
      <c r="I15" s="51">
        <f>Yr!I15*1000</f>
        <v>200000</v>
      </c>
      <c r="J15" s="51">
        <f>Yr!J15*1000</f>
        <v>0</v>
      </c>
      <c r="K15" s="51">
        <f>Yr!K15*1000</f>
        <v>0</v>
      </c>
      <c r="L15" s="51">
        <f>Yr!L15*1000</f>
        <v>0</v>
      </c>
      <c r="M15" s="51">
        <f>Yr!M15*1000</f>
        <v>0</v>
      </c>
      <c r="N15" s="51">
        <f>Yr!N15*1000</f>
        <v>0</v>
      </c>
    </row>
    <row r="16" spans="1:14" x14ac:dyDescent="0.25">
      <c r="A16">
        <v>15</v>
      </c>
      <c r="B16" s="57" t="s">
        <v>524</v>
      </c>
      <c r="C16" s="51">
        <f>Yr!C16*1000</f>
        <v>600000</v>
      </c>
      <c r="D16" s="51">
        <f>Yr!D16*1000</f>
        <v>200000</v>
      </c>
      <c r="E16" s="51">
        <f>Yr!E16*1000</f>
        <v>100000</v>
      </c>
      <c r="F16" s="51">
        <f>Yr!F16*1000</f>
        <v>0</v>
      </c>
      <c r="G16" s="51">
        <f>Yr!G16*1000</f>
        <v>0</v>
      </c>
      <c r="H16" s="51">
        <f>Yr!H16*1000</f>
        <v>0</v>
      </c>
      <c r="I16" s="51">
        <f>Yr!I16*1000</f>
        <v>0</v>
      </c>
      <c r="J16" s="51">
        <f>Yr!J16*1000</f>
        <v>0</v>
      </c>
      <c r="K16" s="51">
        <f>Yr!K16*1000</f>
        <v>0</v>
      </c>
      <c r="L16" s="51">
        <f>Yr!L16*1000</f>
        <v>0</v>
      </c>
      <c r="M16" s="51">
        <f>Yr!M16*1000</f>
        <v>0</v>
      </c>
      <c r="N16" s="51">
        <f>Yr!N16*1000</f>
        <v>0</v>
      </c>
    </row>
    <row r="17" spans="1:14" x14ac:dyDescent="0.25">
      <c r="A17">
        <v>16</v>
      </c>
      <c r="B17" s="57" t="s">
        <v>484</v>
      </c>
      <c r="C17" s="51">
        <f>Yr!C17*1000</f>
        <v>600000</v>
      </c>
      <c r="D17" s="51">
        <f>Yr!D17*1000</f>
        <v>0</v>
      </c>
      <c r="E17" s="51">
        <f>Yr!E17*1000</f>
        <v>0</v>
      </c>
      <c r="F17" s="51">
        <f>Yr!F17*1000</f>
        <v>0</v>
      </c>
      <c r="G17" s="51">
        <f>Yr!G17*1000</f>
        <v>0</v>
      </c>
      <c r="H17" s="51">
        <f>Yr!H17*1000</f>
        <v>0</v>
      </c>
      <c r="I17" s="51">
        <f>Yr!I17*1000</f>
        <v>0</v>
      </c>
      <c r="J17" s="51">
        <f>Yr!J17*1000</f>
        <v>0</v>
      </c>
      <c r="K17" s="51">
        <f>Yr!K17*1000</f>
        <v>0</v>
      </c>
      <c r="L17" s="51">
        <f>Yr!L17*1000</f>
        <v>0</v>
      </c>
      <c r="M17" s="51">
        <f>Yr!M17*1000</f>
        <v>0</v>
      </c>
      <c r="N17" s="51">
        <f>Yr!N17*1000</f>
        <v>0</v>
      </c>
    </row>
    <row r="18" spans="1:14" x14ac:dyDescent="0.25">
      <c r="A18">
        <v>17</v>
      </c>
      <c r="B18" s="54" t="s">
        <v>158</v>
      </c>
      <c r="C18" s="51">
        <f>Yr!C18*1000</f>
        <v>500000</v>
      </c>
      <c r="D18" s="51">
        <f>Yr!D18*1000</f>
        <v>0</v>
      </c>
      <c r="E18" s="51">
        <f>Yr!E18*1000</f>
        <v>0</v>
      </c>
      <c r="F18" s="51">
        <f>Yr!F18*1000</f>
        <v>0</v>
      </c>
      <c r="G18" s="51">
        <f>Yr!G18*1000</f>
        <v>0</v>
      </c>
      <c r="H18" s="51">
        <f>Yr!H18*1000</f>
        <v>0</v>
      </c>
      <c r="I18" s="51">
        <f>Yr!I18*1000</f>
        <v>0</v>
      </c>
      <c r="J18" s="51">
        <f>Yr!J18*1000</f>
        <v>0</v>
      </c>
      <c r="K18" s="51">
        <f>Yr!K18*1000</f>
        <v>0</v>
      </c>
      <c r="L18" s="51">
        <f>Yr!L18*1000</f>
        <v>0</v>
      </c>
      <c r="M18" s="51">
        <f>Yr!M18*1000</f>
        <v>0</v>
      </c>
      <c r="N18" s="51">
        <f>Yr!N18*1000</f>
        <v>0</v>
      </c>
    </row>
    <row r="19" spans="1:14" x14ac:dyDescent="0.25">
      <c r="A19">
        <v>18</v>
      </c>
      <c r="B19" s="54" t="s">
        <v>486</v>
      </c>
      <c r="C19" s="51">
        <f>Yr!C19*1000</f>
        <v>100000</v>
      </c>
      <c r="D19" s="51">
        <f>Yr!D19*1000</f>
        <v>500000</v>
      </c>
      <c r="E19" s="51">
        <f>Yr!E19*1000</f>
        <v>580000</v>
      </c>
      <c r="F19" s="51">
        <f>Yr!F19*1000</f>
        <v>600000</v>
      </c>
      <c r="G19" s="51">
        <f>Yr!G19*1000</f>
        <v>0</v>
      </c>
      <c r="H19" s="51">
        <f>Yr!H19*1000</f>
        <v>0</v>
      </c>
      <c r="I19" s="51">
        <f>Yr!I19*1000</f>
        <v>0</v>
      </c>
      <c r="J19" s="51">
        <f>Yr!J19*1000</f>
        <v>0</v>
      </c>
      <c r="K19" s="51">
        <f>Yr!K19*1000</f>
        <v>0</v>
      </c>
      <c r="L19" s="51">
        <f>Yr!L19*1000</f>
        <v>0</v>
      </c>
      <c r="M19" s="51">
        <f>Yr!M19*1000</f>
        <v>0</v>
      </c>
      <c r="N19" s="51">
        <f>Yr!N19*1000</f>
        <v>0</v>
      </c>
    </row>
    <row r="20" spans="1:14" x14ac:dyDescent="0.25">
      <c r="A20">
        <v>19</v>
      </c>
      <c r="B20" s="54" t="s">
        <v>488</v>
      </c>
      <c r="C20" s="51">
        <f>Yr!C20*1000</f>
        <v>900000</v>
      </c>
      <c r="D20" s="51">
        <f>Yr!D20*1000</f>
        <v>450000</v>
      </c>
      <c r="E20" s="51">
        <f>Yr!E20*1000</f>
        <v>150000</v>
      </c>
      <c r="F20" s="51">
        <f>Yr!F20*1000</f>
        <v>0</v>
      </c>
      <c r="G20" s="51">
        <f>Yr!G20*1000</f>
        <v>0</v>
      </c>
      <c r="H20" s="51">
        <f>Yr!H20*1000</f>
        <v>0</v>
      </c>
      <c r="I20" s="51">
        <f>Yr!I20*1000</f>
        <v>0</v>
      </c>
      <c r="J20" s="51">
        <f>Yr!J20*1000</f>
        <v>0</v>
      </c>
      <c r="K20" s="51">
        <f>Yr!K20*1000</f>
        <v>0</v>
      </c>
      <c r="L20" s="51">
        <f>Yr!L20*1000</f>
        <v>0</v>
      </c>
      <c r="M20" s="51">
        <f>Yr!M20*1000</f>
        <v>0</v>
      </c>
      <c r="N20" s="51">
        <f>Yr!N20*1000</f>
        <v>0</v>
      </c>
    </row>
    <row r="21" spans="1:14" x14ac:dyDescent="0.25">
      <c r="A21">
        <v>20</v>
      </c>
      <c r="B21" s="54" t="s">
        <v>490</v>
      </c>
      <c r="C21" s="51">
        <f>Yr!C21*1000</f>
        <v>100000</v>
      </c>
      <c r="D21" s="51">
        <f>Yr!D21*1000</f>
        <v>500000</v>
      </c>
      <c r="E21" s="51">
        <f>Yr!E21*1000</f>
        <v>500000</v>
      </c>
      <c r="F21" s="51">
        <f>Yr!F21*1000</f>
        <v>260000</v>
      </c>
      <c r="G21" s="51">
        <f>Yr!G21*1000</f>
        <v>0</v>
      </c>
      <c r="H21" s="51">
        <f>Yr!H21*1000</f>
        <v>0</v>
      </c>
      <c r="I21" s="51">
        <f>Yr!I21*1000</f>
        <v>0</v>
      </c>
      <c r="J21" s="51">
        <f>Yr!J21*1000</f>
        <v>0</v>
      </c>
      <c r="K21" s="51">
        <f>Yr!K21*1000</f>
        <v>0</v>
      </c>
      <c r="L21" s="51">
        <f>Yr!L21*1000</f>
        <v>0</v>
      </c>
      <c r="M21" s="51">
        <f>Yr!M21*1000</f>
        <v>0</v>
      </c>
      <c r="N21" s="51">
        <f>Yr!N21*1000</f>
        <v>0</v>
      </c>
    </row>
    <row r="22" spans="1:14" x14ac:dyDescent="0.25">
      <c r="A22">
        <v>21</v>
      </c>
      <c r="B22" s="57" t="s">
        <v>492</v>
      </c>
      <c r="C22" s="51">
        <f>Yr!C22*1000</f>
        <v>800000</v>
      </c>
      <c r="D22" s="51">
        <f>Yr!D22*1000</f>
        <v>0</v>
      </c>
      <c r="E22" s="51">
        <f>Yr!E22*1000</f>
        <v>0</v>
      </c>
      <c r="F22" s="51">
        <f>Yr!F22*1000</f>
        <v>0</v>
      </c>
      <c r="G22" s="51">
        <f>Yr!G22*1000</f>
        <v>0</v>
      </c>
      <c r="H22" s="51">
        <f>Yr!H22*1000</f>
        <v>0</v>
      </c>
      <c r="I22" s="51">
        <f>Yr!I22*1000</f>
        <v>0</v>
      </c>
      <c r="J22" s="51">
        <f>Yr!J22*1000</f>
        <v>0</v>
      </c>
      <c r="K22" s="51">
        <f>Yr!K22*1000</f>
        <v>0</v>
      </c>
      <c r="L22" s="51">
        <f>Yr!L22*1000</f>
        <v>0</v>
      </c>
      <c r="M22" s="51">
        <f>Yr!M22*1000</f>
        <v>0</v>
      </c>
      <c r="N22" s="51">
        <f>Yr!N22*1000</f>
        <v>0</v>
      </c>
    </row>
    <row r="23" spans="1:14" x14ac:dyDescent="0.25">
      <c r="A23">
        <v>22</v>
      </c>
      <c r="B23" s="54" t="s">
        <v>493</v>
      </c>
      <c r="C23" s="51">
        <f>Yr!C23*1000</f>
        <v>500000</v>
      </c>
      <c r="D23" s="51">
        <f>Yr!D23*1000</f>
        <v>550000</v>
      </c>
      <c r="E23" s="51">
        <f>Yr!E23*1000</f>
        <v>0</v>
      </c>
      <c r="F23" s="51">
        <f>Yr!F23*1000</f>
        <v>0</v>
      </c>
      <c r="G23" s="51">
        <f>Yr!G23*1000</f>
        <v>0</v>
      </c>
      <c r="H23" s="51">
        <f>Yr!H23*1000</f>
        <v>0</v>
      </c>
      <c r="I23" s="51">
        <f>Yr!I23*1000</f>
        <v>0</v>
      </c>
      <c r="J23" s="51">
        <f>Yr!J23*1000</f>
        <v>0</v>
      </c>
      <c r="K23" s="51">
        <f>Yr!K23*1000</f>
        <v>0</v>
      </c>
      <c r="L23" s="51">
        <f>Yr!L23*1000</f>
        <v>0</v>
      </c>
      <c r="M23" s="51">
        <f>Yr!M23*1000</f>
        <v>0</v>
      </c>
      <c r="N23" s="51">
        <f>Yr!N23*1000</f>
        <v>0</v>
      </c>
    </row>
    <row r="24" spans="1:14" x14ac:dyDescent="0.25">
      <c r="A24">
        <v>23</v>
      </c>
      <c r="B24" s="54" t="s">
        <v>495</v>
      </c>
      <c r="C24" s="51">
        <f>Yr!C24*1000</f>
        <v>400000</v>
      </c>
      <c r="D24" s="51">
        <f>Yr!D24*1000</f>
        <v>260000</v>
      </c>
      <c r="E24" s="51">
        <f>Yr!E24*1000</f>
        <v>0</v>
      </c>
      <c r="F24" s="51">
        <f>Yr!F24*1000</f>
        <v>0</v>
      </c>
      <c r="G24" s="51">
        <f>Yr!G24*1000</f>
        <v>0</v>
      </c>
      <c r="H24" s="51">
        <f>Yr!H24*1000</f>
        <v>0</v>
      </c>
      <c r="I24" s="51">
        <f>Yr!I24*1000</f>
        <v>0</v>
      </c>
      <c r="J24" s="51">
        <f>Yr!J24*1000</f>
        <v>0</v>
      </c>
      <c r="K24" s="51">
        <f>Yr!K24*1000</f>
        <v>0</v>
      </c>
      <c r="L24" s="51">
        <f>Yr!L24*1000</f>
        <v>0</v>
      </c>
      <c r="M24" s="51">
        <f>Yr!M24*1000</f>
        <v>0</v>
      </c>
      <c r="N24" s="51">
        <f>Yr!N24*1000</f>
        <v>0</v>
      </c>
    </row>
    <row r="25" spans="1:14" x14ac:dyDescent="0.25">
      <c r="A25">
        <v>24</v>
      </c>
      <c r="B25" s="57" t="s">
        <v>527</v>
      </c>
      <c r="C25" s="51">
        <f>Yr!C25*1000</f>
        <v>390000</v>
      </c>
      <c r="D25" s="51">
        <f>Yr!D25*1000</f>
        <v>300000</v>
      </c>
      <c r="E25" s="51">
        <f>Yr!E25*1000</f>
        <v>450000</v>
      </c>
      <c r="F25" s="51">
        <f>Yr!F25*1000</f>
        <v>100000</v>
      </c>
      <c r="G25" s="51">
        <f>Yr!G25*1000</f>
        <v>200000</v>
      </c>
      <c r="H25" s="51">
        <f>Yr!H25*1000</f>
        <v>630000</v>
      </c>
      <c r="I25" s="51">
        <f>Yr!I25*1000</f>
        <v>0</v>
      </c>
      <c r="J25" s="51">
        <f>Yr!J25*1000</f>
        <v>0</v>
      </c>
      <c r="K25" s="51">
        <f>Yr!K25*1000</f>
        <v>0</v>
      </c>
      <c r="L25" s="51">
        <f>Yr!L25*1000</f>
        <v>0</v>
      </c>
      <c r="M25" s="51">
        <f>Yr!M25*1000</f>
        <v>0</v>
      </c>
      <c r="N25" s="51">
        <f>Yr!N25*1000</f>
        <v>0</v>
      </c>
    </row>
    <row r="26" spans="1:14" x14ac:dyDescent="0.25">
      <c r="A26">
        <v>25</v>
      </c>
      <c r="B26" s="57" t="s">
        <v>538</v>
      </c>
      <c r="C26" s="51">
        <f>Yr!C26*1000</f>
        <v>200000</v>
      </c>
      <c r="D26" s="51">
        <f>Yr!D26*1000</f>
        <v>200000</v>
      </c>
      <c r="E26" s="51">
        <f>Yr!E26*1000</f>
        <v>300000</v>
      </c>
      <c r="F26" s="51">
        <f>Yr!F26*1000</f>
        <v>300000</v>
      </c>
      <c r="G26" s="51">
        <f>Yr!G26*1000</f>
        <v>300000</v>
      </c>
      <c r="H26" s="51">
        <f>Yr!H26*1000</f>
        <v>0</v>
      </c>
      <c r="I26" s="51">
        <f>Yr!I26*1000</f>
        <v>0</v>
      </c>
      <c r="J26" s="51">
        <f>Yr!J26*1000</f>
        <v>0</v>
      </c>
      <c r="K26" s="51">
        <f>Yr!K26*1000</f>
        <v>0</v>
      </c>
      <c r="L26" s="51">
        <f>Yr!L26*1000</f>
        <v>0</v>
      </c>
      <c r="M26" s="51">
        <f>Yr!M26*1000</f>
        <v>0</v>
      </c>
      <c r="N26" s="51">
        <f>Yr!N26*1000</f>
        <v>0</v>
      </c>
    </row>
    <row r="27" spans="1:14" x14ac:dyDescent="0.25">
      <c r="A27">
        <v>26</v>
      </c>
      <c r="B27" s="62" t="s">
        <v>592</v>
      </c>
      <c r="C27" s="51">
        <f>Yr!C27*1000</f>
        <v>120000</v>
      </c>
      <c r="D27" s="51">
        <f>Yr!D27*1000</f>
        <v>0</v>
      </c>
      <c r="E27" s="51">
        <f>Yr!E27*1000</f>
        <v>0</v>
      </c>
      <c r="F27" s="51">
        <f>Yr!F27*1000</f>
        <v>0</v>
      </c>
      <c r="G27" s="51">
        <f>Yr!G27*1000</f>
        <v>0</v>
      </c>
      <c r="H27" s="51">
        <f>Yr!H27*1000</f>
        <v>0</v>
      </c>
      <c r="I27" s="51">
        <f>Yr!I27*1000</f>
        <v>0</v>
      </c>
      <c r="J27" s="51">
        <f>Yr!J27*1000</f>
        <v>0</v>
      </c>
      <c r="K27" s="51">
        <f>Yr!K27*1000</f>
        <v>0</v>
      </c>
      <c r="L27" s="51">
        <f>Yr!L27*1000</f>
        <v>0</v>
      </c>
      <c r="M27" s="51">
        <f>Yr!M27*1000</f>
        <v>0</v>
      </c>
      <c r="N27" s="51">
        <f>Yr!N27*1000</f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3B94-F387-4AA5-8205-AD031072E299}">
  <dimension ref="A1:N27"/>
  <sheetViews>
    <sheetView zoomScale="85" zoomScaleNormal="85" workbookViewId="0">
      <selection activeCell="I31" sqref="I31"/>
    </sheetView>
  </sheetViews>
  <sheetFormatPr defaultColWidth="8.88671875" defaultRowHeight="13.8" x14ac:dyDescent="0.25"/>
  <sheetData>
    <row r="1" spans="1:14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5">
      <c r="A2">
        <v>1</v>
      </c>
      <c r="B2" s="50" t="s">
        <v>457</v>
      </c>
      <c r="C2" s="51">
        <v>11740</v>
      </c>
      <c r="D2" s="52">
        <v>150</v>
      </c>
      <c r="E2" s="53">
        <v>0</v>
      </c>
      <c r="F2" s="53">
        <v>0</v>
      </c>
      <c r="G2" s="53">
        <v>0</v>
      </c>
      <c r="H2" s="53">
        <v>0</v>
      </c>
      <c r="I2" s="53">
        <v>0</v>
      </c>
      <c r="J2" s="53">
        <v>0</v>
      </c>
      <c r="K2" s="53">
        <v>0</v>
      </c>
      <c r="L2" s="53">
        <v>0</v>
      </c>
      <c r="M2" s="53">
        <v>0</v>
      </c>
      <c r="N2" s="53">
        <v>0</v>
      </c>
    </row>
    <row r="3" spans="1:14" x14ac:dyDescent="0.25">
      <c r="A3">
        <v>2</v>
      </c>
      <c r="B3" s="54" t="s">
        <v>458</v>
      </c>
      <c r="C3" s="55">
        <v>700</v>
      </c>
      <c r="D3" s="49">
        <v>300</v>
      </c>
      <c r="E3" s="49">
        <v>2100</v>
      </c>
      <c r="F3" s="49">
        <v>150</v>
      </c>
      <c r="G3" s="49">
        <v>1680</v>
      </c>
      <c r="H3" s="49">
        <v>11470</v>
      </c>
      <c r="I3" s="49">
        <v>3300</v>
      </c>
      <c r="J3" s="49">
        <v>1700</v>
      </c>
      <c r="K3" s="49">
        <v>1170</v>
      </c>
      <c r="L3" s="49">
        <v>120</v>
      </c>
      <c r="N3" s="49">
        <v>0</v>
      </c>
    </row>
    <row r="4" spans="1:14" x14ac:dyDescent="0.25">
      <c r="A4">
        <v>3</v>
      </c>
      <c r="B4" s="54" t="s">
        <v>459</v>
      </c>
      <c r="C4" s="55">
        <v>600</v>
      </c>
      <c r="D4" s="49">
        <v>4400</v>
      </c>
      <c r="E4" s="56">
        <v>1000</v>
      </c>
      <c r="F4" s="49">
        <v>2300</v>
      </c>
      <c r="G4" s="49">
        <v>10460</v>
      </c>
      <c r="H4" s="49">
        <v>0</v>
      </c>
      <c r="I4" s="49">
        <v>0</v>
      </c>
      <c r="J4" s="49">
        <v>0</v>
      </c>
      <c r="K4" s="49">
        <v>0</v>
      </c>
      <c r="L4" s="49">
        <v>0</v>
      </c>
      <c r="M4" s="49">
        <v>0</v>
      </c>
      <c r="N4" s="49">
        <v>0</v>
      </c>
    </row>
    <row r="5" spans="1:14" x14ac:dyDescent="0.25">
      <c r="A5">
        <v>4</v>
      </c>
      <c r="B5" s="57" t="s">
        <v>462</v>
      </c>
      <c r="C5" s="55">
        <v>160</v>
      </c>
      <c r="D5" s="49">
        <v>150</v>
      </c>
      <c r="E5" s="49">
        <v>2000</v>
      </c>
      <c r="F5" s="49">
        <v>100</v>
      </c>
      <c r="G5" s="49">
        <v>900</v>
      </c>
      <c r="H5" s="49">
        <v>1800</v>
      </c>
      <c r="I5" s="49">
        <v>500</v>
      </c>
      <c r="J5" s="49">
        <v>0</v>
      </c>
      <c r="K5" s="49">
        <v>0</v>
      </c>
      <c r="L5" s="49">
        <v>0</v>
      </c>
      <c r="M5" s="49">
        <v>0</v>
      </c>
      <c r="N5" s="49">
        <v>0</v>
      </c>
    </row>
    <row r="6" spans="1:14" x14ac:dyDescent="0.25">
      <c r="A6">
        <v>5</v>
      </c>
      <c r="B6" s="57" t="s">
        <v>522</v>
      </c>
      <c r="C6" s="55">
        <v>400</v>
      </c>
      <c r="D6" s="49">
        <v>1200</v>
      </c>
      <c r="E6" s="49">
        <v>200</v>
      </c>
      <c r="F6" s="49">
        <v>85</v>
      </c>
      <c r="G6" s="49">
        <v>480</v>
      </c>
      <c r="H6" s="49">
        <v>150</v>
      </c>
      <c r="I6" s="49">
        <v>600</v>
      </c>
      <c r="J6" s="49">
        <v>2100</v>
      </c>
      <c r="K6" s="49">
        <v>500</v>
      </c>
      <c r="L6" s="49">
        <v>0</v>
      </c>
      <c r="M6" s="49">
        <v>0</v>
      </c>
      <c r="N6" s="49">
        <v>0</v>
      </c>
    </row>
    <row r="7" spans="1:14" x14ac:dyDescent="0.25">
      <c r="A7">
        <v>6</v>
      </c>
      <c r="B7" s="57" t="s">
        <v>541</v>
      </c>
      <c r="C7" s="55">
        <v>1800</v>
      </c>
      <c r="D7" s="49">
        <v>0</v>
      </c>
      <c r="E7" s="49">
        <v>0</v>
      </c>
      <c r="F7" s="49">
        <v>0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0</v>
      </c>
      <c r="N7" s="49">
        <v>0</v>
      </c>
    </row>
    <row r="8" spans="1:14" x14ac:dyDescent="0.25">
      <c r="A8">
        <v>7</v>
      </c>
      <c r="B8" s="57" t="s">
        <v>529</v>
      </c>
      <c r="C8" s="58">
        <v>1900</v>
      </c>
      <c r="D8" s="49">
        <v>150</v>
      </c>
      <c r="E8" s="49">
        <v>600</v>
      </c>
      <c r="F8" s="49">
        <v>1270</v>
      </c>
      <c r="G8" s="49">
        <v>950</v>
      </c>
      <c r="H8" s="49">
        <v>200</v>
      </c>
      <c r="I8" s="49">
        <v>200</v>
      </c>
      <c r="J8" s="49">
        <v>400</v>
      </c>
      <c r="K8" s="49">
        <v>750</v>
      </c>
      <c r="L8" s="49">
        <v>600</v>
      </c>
      <c r="M8" s="49">
        <v>1470</v>
      </c>
      <c r="N8" s="59">
        <v>100</v>
      </c>
    </row>
    <row r="9" spans="1:14" x14ac:dyDescent="0.25">
      <c r="A9">
        <v>8</v>
      </c>
      <c r="B9" s="57" t="s">
        <v>471</v>
      </c>
      <c r="C9" s="55">
        <v>1400</v>
      </c>
      <c r="D9" s="49">
        <v>800</v>
      </c>
      <c r="E9" s="49">
        <v>1020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</row>
    <row r="10" spans="1:14" x14ac:dyDescent="0.25">
      <c r="A10">
        <v>9</v>
      </c>
      <c r="B10" s="57" t="s">
        <v>472</v>
      </c>
      <c r="C10" s="58">
        <v>1400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</row>
    <row r="11" spans="1:14" x14ac:dyDescent="0.25">
      <c r="A11">
        <v>10</v>
      </c>
      <c r="B11" s="57" t="s">
        <v>473</v>
      </c>
      <c r="C11" s="58">
        <v>1000</v>
      </c>
      <c r="D11" s="49">
        <v>0</v>
      </c>
      <c r="E11" s="49">
        <v>0</v>
      </c>
      <c r="F11" s="49">
        <v>0</v>
      </c>
      <c r="G11" s="49">
        <v>0</v>
      </c>
      <c r="H11" s="49">
        <v>0</v>
      </c>
      <c r="I11" s="49">
        <v>0</v>
      </c>
      <c r="J11" s="49">
        <v>0</v>
      </c>
      <c r="K11" s="49">
        <v>0</v>
      </c>
      <c r="L11" s="49">
        <v>0</v>
      </c>
      <c r="M11" s="49">
        <v>0</v>
      </c>
      <c r="N11" s="49">
        <v>0</v>
      </c>
    </row>
    <row r="12" spans="1:14" x14ac:dyDescent="0.25">
      <c r="A12">
        <v>11</v>
      </c>
      <c r="B12" s="57" t="s">
        <v>475</v>
      </c>
      <c r="C12" s="55">
        <v>600</v>
      </c>
      <c r="D12" s="49">
        <v>300</v>
      </c>
      <c r="E12" s="60">
        <v>1250</v>
      </c>
      <c r="F12" s="49">
        <v>1800</v>
      </c>
      <c r="G12" s="49">
        <v>1100</v>
      </c>
      <c r="H12" s="49">
        <v>900</v>
      </c>
      <c r="I12" s="49">
        <v>600</v>
      </c>
      <c r="J12" s="49">
        <v>700</v>
      </c>
      <c r="K12" s="49">
        <v>500</v>
      </c>
      <c r="L12" s="49">
        <v>0</v>
      </c>
      <c r="M12" s="49">
        <v>0</v>
      </c>
      <c r="N12" s="49">
        <v>0</v>
      </c>
    </row>
    <row r="13" spans="1:14" x14ac:dyDescent="0.25">
      <c r="A13">
        <v>12</v>
      </c>
      <c r="B13" s="57" t="s">
        <v>535</v>
      </c>
      <c r="C13" s="55">
        <v>2470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</row>
    <row r="14" spans="1:14" x14ac:dyDescent="0.25">
      <c r="A14">
        <v>13</v>
      </c>
      <c r="B14" s="54" t="s">
        <v>478</v>
      </c>
      <c r="C14" s="55">
        <v>200</v>
      </c>
      <c r="D14" s="49">
        <v>390</v>
      </c>
      <c r="E14" s="49">
        <v>980</v>
      </c>
      <c r="F14" s="49">
        <v>30</v>
      </c>
      <c r="G14" s="49">
        <v>165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</row>
    <row r="15" spans="1:14" x14ac:dyDescent="0.25">
      <c r="A15">
        <v>14</v>
      </c>
      <c r="B15" s="54" t="s">
        <v>480</v>
      </c>
      <c r="C15" s="55">
        <v>310</v>
      </c>
      <c r="D15" s="49">
        <v>800</v>
      </c>
      <c r="E15" s="49">
        <v>100</v>
      </c>
      <c r="F15" s="49">
        <v>1200</v>
      </c>
      <c r="G15" s="49">
        <v>540</v>
      </c>
      <c r="H15" s="49">
        <v>1500</v>
      </c>
      <c r="I15" s="49">
        <v>200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</row>
    <row r="16" spans="1:14" x14ac:dyDescent="0.25">
      <c r="A16">
        <v>15</v>
      </c>
      <c r="B16" s="57" t="s">
        <v>524</v>
      </c>
      <c r="C16" s="55">
        <v>600</v>
      </c>
      <c r="D16" s="49">
        <v>200</v>
      </c>
      <c r="E16" s="49">
        <v>100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</row>
    <row r="17" spans="1:14" x14ac:dyDescent="0.25">
      <c r="A17">
        <v>16</v>
      </c>
      <c r="B17" s="57" t="s">
        <v>484</v>
      </c>
      <c r="C17" s="55">
        <v>600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</row>
    <row r="18" spans="1:14" x14ac:dyDescent="0.25">
      <c r="A18">
        <v>17</v>
      </c>
      <c r="B18" s="54" t="s">
        <v>158</v>
      </c>
      <c r="C18" s="55">
        <v>500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</row>
    <row r="19" spans="1:14" x14ac:dyDescent="0.25">
      <c r="A19">
        <v>18</v>
      </c>
      <c r="B19" s="54" t="s">
        <v>486</v>
      </c>
      <c r="C19" s="55">
        <v>100</v>
      </c>
      <c r="D19" s="49">
        <v>500</v>
      </c>
      <c r="E19" s="49">
        <v>580</v>
      </c>
      <c r="F19" s="49">
        <v>600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</row>
    <row r="20" spans="1:14" x14ac:dyDescent="0.25">
      <c r="A20">
        <v>19</v>
      </c>
      <c r="B20" s="54" t="s">
        <v>488</v>
      </c>
      <c r="C20" s="55">
        <v>900</v>
      </c>
      <c r="D20" s="49">
        <v>450</v>
      </c>
      <c r="E20" s="49">
        <v>150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</row>
    <row r="21" spans="1:14" x14ac:dyDescent="0.25">
      <c r="A21">
        <v>20</v>
      </c>
      <c r="B21" s="54" t="s">
        <v>490</v>
      </c>
      <c r="C21" s="55">
        <v>100</v>
      </c>
      <c r="D21" s="49">
        <v>500</v>
      </c>
      <c r="E21" s="49">
        <v>500</v>
      </c>
      <c r="F21" s="49">
        <v>260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</row>
    <row r="22" spans="1:14" x14ac:dyDescent="0.25">
      <c r="A22">
        <v>21</v>
      </c>
      <c r="B22" s="57" t="s">
        <v>492</v>
      </c>
      <c r="C22" s="55">
        <v>800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</row>
    <row r="23" spans="1:14" x14ac:dyDescent="0.25">
      <c r="A23">
        <v>22</v>
      </c>
      <c r="B23" s="54" t="s">
        <v>493</v>
      </c>
      <c r="C23" s="55">
        <v>500</v>
      </c>
      <c r="D23" s="49">
        <v>550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</row>
    <row r="24" spans="1:14" x14ac:dyDescent="0.25">
      <c r="A24">
        <v>23</v>
      </c>
      <c r="B24" s="54" t="s">
        <v>495</v>
      </c>
      <c r="C24" s="55">
        <v>400</v>
      </c>
      <c r="D24" s="49">
        <v>260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</row>
    <row r="25" spans="1:14" x14ac:dyDescent="0.25">
      <c r="A25">
        <v>24</v>
      </c>
      <c r="B25" s="57" t="s">
        <v>527</v>
      </c>
      <c r="C25" s="55">
        <v>390</v>
      </c>
      <c r="D25" s="49">
        <v>300</v>
      </c>
      <c r="E25" s="49">
        <v>450</v>
      </c>
      <c r="F25" s="49">
        <v>100</v>
      </c>
      <c r="G25" s="49">
        <v>200</v>
      </c>
      <c r="H25" s="49">
        <v>630</v>
      </c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</row>
    <row r="26" spans="1:14" x14ac:dyDescent="0.25">
      <c r="A26">
        <v>25</v>
      </c>
      <c r="B26" s="57" t="s">
        <v>538</v>
      </c>
      <c r="C26" s="61">
        <v>200</v>
      </c>
      <c r="D26" s="1">
        <v>200</v>
      </c>
      <c r="E26" s="1">
        <v>300</v>
      </c>
      <c r="F26" s="1">
        <v>300</v>
      </c>
      <c r="G26" s="1">
        <v>300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</row>
    <row r="27" spans="1:14" x14ac:dyDescent="0.25">
      <c r="A27">
        <v>26</v>
      </c>
      <c r="B27" s="62" t="s">
        <v>592</v>
      </c>
      <c r="C27" s="63">
        <v>120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workbookViewId="0">
      <selection activeCell="J44" sqref="J44"/>
    </sheetView>
  </sheetViews>
  <sheetFormatPr defaultColWidth="9" defaultRowHeight="13.8" x14ac:dyDescent="0.25"/>
  <cols>
    <col min="1" max="2" width="19.21875" style="1" customWidth="1"/>
    <col min="3" max="3" width="23.5546875" style="1" customWidth="1"/>
    <col min="4" max="4" width="16.21875" style="1" customWidth="1"/>
    <col min="6" max="6" width="12.88671875" customWidth="1"/>
    <col min="8" max="8" width="13.77734375" customWidth="1"/>
    <col min="9" max="9" width="15.88671875" customWidth="1"/>
    <col min="10" max="10" width="11.88671875" customWidth="1"/>
  </cols>
  <sheetData>
    <row r="1" spans="1:10" x14ac:dyDescent="0.25">
      <c r="A1" s="1" t="s">
        <v>450</v>
      </c>
      <c r="B1" s="10" t="s">
        <v>519</v>
      </c>
      <c r="C1" s="1" t="s">
        <v>451</v>
      </c>
      <c r="D1" s="10" t="s">
        <v>510</v>
      </c>
      <c r="E1" s="10" t="s">
        <v>517</v>
      </c>
      <c r="F1" s="10" t="s">
        <v>518</v>
      </c>
    </row>
    <row r="2" spans="1:10" x14ac:dyDescent="0.25">
      <c r="A2" s="1" t="s">
        <v>18</v>
      </c>
      <c r="B2" s="10" t="s">
        <v>520</v>
      </c>
      <c r="C2" s="1">
        <v>16860</v>
      </c>
      <c r="D2" s="10" t="s">
        <v>509</v>
      </c>
      <c r="E2">
        <f>SUM(C2:C6)</f>
        <v>38585</v>
      </c>
      <c r="F2" s="13">
        <f t="shared" ref="F2:F8" si="0">E2/$E$10</f>
        <v>0.35710319296621934</v>
      </c>
      <c r="H2" s="9" t="s">
        <v>501</v>
      </c>
      <c r="I2" s="9" t="s">
        <v>502</v>
      </c>
      <c r="J2" s="12">
        <v>81760</v>
      </c>
    </row>
    <row r="3" spans="1:10" x14ac:dyDescent="0.25">
      <c r="A3" s="1" t="s">
        <v>8</v>
      </c>
      <c r="B3" s="10" t="s">
        <v>521</v>
      </c>
      <c r="C3" s="1">
        <v>11890</v>
      </c>
      <c r="D3" s="10" t="s">
        <v>511</v>
      </c>
      <c r="E3">
        <f>SUM(C7:C10)</f>
        <v>33010</v>
      </c>
      <c r="F3" s="13">
        <f t="shared" si="0"/>
        <v>0.30550670985654788</v>
      </c>
      <c r="H3" s="9" t="s">
        <v>506</v>
      </c>
      <c r="I3" t="s">
        <v>503</v>
      </c>
      <c r="J3">
        <v>15245</v>
      </c>
    </row>
    <row r="4" spans="1:10" x14ac:dyDescent="0.25">
      <c r="A4" s="1" t="s">
        <v>42</v>
      </c>
      <c r="B4" s="10" t="s">
        <v>522</v>
      </c>
      <c r="C4" s="1">
        <v>5715</v>
      </c>
      <c r="D4" s="10" t="s">
        <v>512</v>
      </c>
      <c r="E4">
        <f>SUM(C11:C16)</f>
        <v>18240</v>
      </c>
      <c r="F4" s="13">
        <f t="shared" si="0"/>
        <v>0.16881073577047664</v>
      </c>
      <c r="H4" s="9" t="s">
        <v>507</v>
      </c>
      <c r="I4" t="s">
        <v>504</v>
      </c>
      <c r="J4">
        <v>10670</v>
      </c>
    </row>
    <row r="5" spans="1:10" x14ac:dyDescent="0.25">
      <c r="A5" s="1" t="s">
        <v>60</v>
      </c>
      <c r="B5" s="10" t="s">
        <v>523</v>
      </c>
      <c r="C5" s="1">
        <v>3220</v>
      </c>
      <c r="D5" s="10" t="s">
        <v>513</v>
      </c>
      <c r="E5">
        <f>SUM(C17:C20)</f>
        <v>6630</v>
      </c>
      <c r="F5" s="13">
        <f t="shared" si="0"/>
        <v>6.136048125867654E-2</v>
      </c>
      <c r="H5" s="9" t="s">
        <v>508</v>
      </c>
      <c r="I5" t="s">
        <v>505</v>
      </c>
      <c r="J5">
        <v>375</v>
      </c>
    </row>
    <row r="6" spans="1:10" x14ac:dyDescent="0.25">
      <c r="A6" s="1" t="s">
        <v>145</v>
      </c>
      <c r="B6" s="10" t="s">
        <v>524</v>
      </c>
      <c r="C6" s="1">
        <v>900</v>
      </c>
      <c r="D6" s="10" t="s">
        <v>514</v>
      </c>
      <c r="E6">
        <f>C21+C22</f>
        <v>5700</v>
      </c>
      <c r="F6" s="13">
        <f t="shared" si="0"/>
        <v>5.2753354928273946E-2</v>
      </c>
    </row>
    <row r="7" spans="1:10" x14ac:dyDescent="0.25">
      <c r="A7" s="1" t="s">
        <v>14</v>
      </c>
      <c r="B7" s="10" t="s">
        <v>525</v>
      </c>
      <c r="C7" s="1">
        <v>22690</v>
      </c>
      <c r="D7" s="10" t="s">
        <v>515</v>
      </c>
      <c r="E7">
        <f>C23+C24</f>
        <v>3200</v>
      </c>
      <c r="F7" s="13">
        <f t="shared" si="0"/>
        <v>2.9615918556223971E-2</v>
      </c>
    </row>
    <row r="8" spans="1:10" x14ac:dyDescent="0.25">
      <c r="A8" s="1" t="s">
        <v>89</v>
      </c>
      <c r="B8" s="10" t="s">
        <v>526</v>
      </c>
      <c r="C8" s="1">
        <v>7750</v>
      </c>
      <c r="D8" s="10" t="s">
        <v>516</v>
      </c>
      <c r="E8">
        <f>C25+C26+C27</f>
        <v>2685</v>
      </c>
      <c r="F8" s="13">
        <f t="shared" si="0"/>
        <v>2.4849606663581675E-2</v>
      </c>
    </row>
    <row r="9" spans="1:10" x14ac:dyDescent="0.25">
      <c r="A9" s="1" t="s">
        <v>229</v>
      </c>
      <c r="B9" s="10" t="s">
        <v>527</v>
      </c>
      <c r="C9" s="1">
        <v>2070</v>
      </c>
      <c r="D9"/>
    </row>
    <row r="10" spans="1:10" x14ac:dyDescent="0.25">
      <c r="A10" s="1" t="s">
        <v>157</v>
      </c>
      <c r="B10" s="10" t="s">
        <v>528</v>
      </c>
      <c r="C10" s="1">
        <v>500</v>
      </c>
      <c r="D10"/>
      <c r="E10">
        <f>SUM(E2:E8)</f>
        <v>108050</v>
      </c>
    </row>
    <row r="11" spans="1:10" x14ac:dyDescent="0.25">
      <c r="A11" s="1" t="s">
        <v>50</v>
      </c>
      <c r="B11" s="10" t="s">
        <v>529</v>
      </c>
      <c r="C11" s="1">
        <v>8590</v>
      </c>
    </row>
    <row r="12" spans="1:10" x14ac:dyDescent="0.25">
      <c r="A12" s="1" t="s">
        <v>35</v>
      </c>
      <c r="B12" s="10" t="s">
        <v>530</v>
      </c>
      <c r="C12" s="1">
        <v>5610</v>
      </c>
    </row>
    <row r="13" spans="1:10" x14ac:dyDescent="0.25">
      <c r="A13" s="1" t="s">
        <v>161</v>
      </c>
      <c r="B13" s="10" t="s">
        <v>531</v>
      </c>
      <c r="C13" s="1">
        <v>1780</v>
      </c>
    </row>
    <row r="14" spans="1:10" x14ac:dyDescent="0.25">
      <c r="A14" s="1" t="s">
        <v>77</v>
      </c>
      <c r="B14" s="10" t="s">
        <v>532</v>
      </c>
      <c r="C14" s="1">
        <v>1000</v>
      </c>
    </row>
    <row r="15" spans="1:10" x14ac:dyDescent="0.25">
      <c r="A15" s="1" t="s">
        <v>208</v>
      </c>
      <c r="B15" s="10" t="s">
        <v>533</v>
      </c>
      <c r="C15" s="1">
        <v>660</v>
      </c>
    </row>
    <row r="16" spans="1:10" x14ac:dyDescent="0.25">
      <c r="A16" s="1" t="s">
        <v>149</v>
      </c>
      <c r="B16" s="10" t="s">
        <v>534</v>
      </c>
      <c r="C16" s="1">
        <v>600</v>
      </c>
    </row>
    <row r="17" spans="1:3" x14ac:dyDescent="0.25">
      <c r="A17" s="1" t="s">
        <v>93</v>
      </c>
      <c r="B17" s="10" t="s">
        <v>535</v>
      </c>
      <c r="C17" s="1">
        <v>2470</v>
      </c>
    </row>
    <row r="18" spans="1:3" x14ac:dyDescent="0.25">
      <c r="A18" s="1" t="s">
        <v>166</v>
      </c>
      <c r="B18" s="10" t="s">
        <v>536</v>
      </c>
      <c r="C18" s="1">
        <v>1500</v>
      </c>
    </row>
    <row r="19" spans="1:3" x14ac:dyDescent="0.25">
      <c r="A19" s="1" t="s">
        <v>170</v>
      </c>
      <c r="B19" s="10" t="s">
        <v>537</v>
      </c>
      <c r="C19" s="1">
        <v>1360</v>
      </c>
    </row>
    <row r="20" spans="1:3" x14ac:dyDescent="0.25">
      <c r="A20" s="1" t="s">
        <v>267</v>
      </c>
      <c r="B20" s="10" t="s">
        <v>538</v>
      </c>
      <c r="C20" s="1">
        <v>1300</v>
      </c>
    </row>
    <row r="21" spans="1:3" x14ac:dyDescent="0.25">
      <c r="A21" s="1" t="s">
        <v>122</v>
      </c>
      <c r="B21" s="10" t="s">
        <v>539</v>
      </c>
      <c r="C21" s="1">
        <v>4650</v>
      </c>
    </row>
    <row r="22" spans="1:3" x14ac:dyDescent="0.25">
      <c r="A22" s="1" t="s">
        <v>188</v>
      </c>
      <c r="B22" s="10" t="s">
        <v>540</v>
      </c>
      <c r="C22" s="1">
        <v>1050</v>
      </c>
    </row>
    <row r="23" spans="1:3" x14ac:dyDescent="0.25">
      <c r="A23" s="1" t="s">
        <v>46</v>
      </c>
      <c r="B23" s="10" t="s">
        <v>541</v>
      </c>
      <c r="C23" s="1">
        <v>1800</v>
      </c>
    </row>
    <row r="24" spans="1:3" x14ac:dyDescent="0.25">
      <c r="A24" s="1" t="s">
        <v>64</v>
      </c>
      <c r="B24" s="10" t="s">
        <v>542</v>
      </c>
      <c r="C24" s="1">
        <v>1400</v>
      </c>
    </row>
    <row r="25" spans="1:3" x14ac:dyDescent="0.25">
      <c r="A25" s="1" t="s">
        <v>102</v>
      </c>
      <c r="B25" s="10" t="s">
        <v>543</v>
      </c>
      <c r="C25" s="1">
        <v>1765</v>
      </c>
    </row>
    <row r="26" spans="1:3" x14ac:dyDescent="0.25">
      <c r="A26" s="1" t="s">
        <v>181</v>
      </c>
      <c r="B26" s="10" t="s">
        <v>544</v>
      </c>
      <c r="C26" s="1">
        <v>800</v>
      </c>
    </row>
    <row r="27" spans="1:3" x14ac:dyDescent="0.25">
      <c r="A27" s="1" t="s">
        <v>393</v>
      </c>
      <c r="B27" s="10" t="s">
        <v>545</v>
      </c>
      <c r="C27" s="1">
        <v>120</v>
      </c>
    </row>
    <row r="39" spans="2:5" x14ac:dyDescent="0.25">
      <c r="B39" s="10" t="s">
        <v>519</v>
      </c>
      <c r="C39" s="10" t="s">
        <v>546</v>
      </c>
      <c r="D39" s="10" t="s">
        <v>519</v>
      </c>
      <c r="E39" s="10" t="s">
        <v>546</v>
      </c>
    </row>
    <row r="40" spans="2:5" x14ac:dyDescent="0.25">
      <c r="B40" s="10" t="s">
        <v>520</v>
      </c>
      <c r="C40" s="1">
        <v>16860</v>
      </c>
      <c r="D40" s="10" t="s">
        <v>533</v>
      </c>
      <c r="E40" s="1">
        <v>660</v>
      </c>
    </row>
    <row r="41" spans="2:5" x14ac:dyDescent="0.25">
      <c r="B41" s="10" t="s">
        <v>521</v>
      </c>
      <c r="C41" s="1">
        <v>11890</v>
      </c>
      <c r="D41" s="10" t="s">
        <v>534</v>
      </c>
      <c r="E41" s="1">
        <v>600</v>
      </c>
    </row>
    <row r="42" spans="2:5" x14ac:dyDescent="0.25">
      <c r="B42" s="10" t="s">
        <v>522</v>
      </c>
      <c r="C42" s="1">
        <v>5715</v>
      </c>
      <c r="D42" s="10" t="s">
        <v>535</v>
      </c>
      <c r="E42" s="1">
        <v>2470</v>
      </c>
    </row>
    <row r="43" spans="2:5" x14ac:dyDescent="0.25">
      <c r="B43" s="10" t="s">
        <v>523</v>
      </c>
      <c r="C43" s="1">
        <v>3220</v>
      </c>
      <c r="D43" s="10" t="s">
        <v>536</v>
      </c>
      <c r="E43" s="1">
        <v>1500</v>
      </c>
    </row>
    <row r="44" spans="2:5" x14ac:dyDescent="0.25">
      <c r="B44" s="10" t="s">
        <v>524</v>
      </c>
      <c r="C44" s="1">
        <v>900</v>
      </c>
      <c r="D44" s="10" t="s">
        <v>537</v>
      </c>
      <c r="E44" s="1">
        <v>1360</v>
      </c>
    </row>
    <row r="45" spans="2:5" x14ac:dyDescent="0.25">
      <c r="B45" s="10" t="s">
        <v>525</v>
      </c>
      <c r="C45" s="1">
        <v>22690</v>
      </c>
      <c r="D45" s="10" t="s">
        <v>538</v>
      </c>
      <c r="E45" s="1">
        <v>1300</v>
      </c>
    </row>
    <row r="46" spans="2:5" x14ac:dyDescent="0.25">
      <c r="B46" s="10" t="s">
        <v>526</v>
      </c>
      <c r="C46" s="1">
        <v>7750</v>
      </c>
      <c r="D46" s="10" t="s">
        <v>539</v>
      </c>
      <c r="E46" s="1">
        <v>4650</v>
      </c>
    </row>
    <row r="47" spans="2:5" x14ac:dyDescent="0.25">
      <c r="B47" s="10" t="s">
        <v>527</v>
      </c>
      <c r="C47" s="1">
        <v>2070</v>
      </c>
      <c r="D47" s="10" t="s">
        <v>540</v>
      </c>
      <c r="E47" s="1">
        <v>1050</v>
      </c>
    </row>
    <row r="48" spans="2:5" x14ac:dyDescent="0.25">
      <c r="B48" s="10" t="s">
        <v>528</v>
      </c>
      <c r="C48" s="1">
        <v>500</v>
      </c>
      <c r="D48" s="10" t="s">
        <v>541</v>
      </c>
      <c r="E48" s="1">
        <v>1800</v>
      </c>
    </row>
    <row r="49" spans="2:5" x14ac:dyDescent="0.25">
      <c r="B49" s="10" t="s">
        <v>529</v>
      </c>
      <c r="C49" s="1">
        <v>8590</v>
      </c>
      <c r="D49" s="10" t="s">
        <v>542</v>
      </c>
      <c r="E49" s="1">
        <v>1400</v>
      </c>
    </row>
    <row r="50" spans="2:5" x14ac:dyDescent="0.25">
      <c r="B50" s="10" t="s">
        <v>530</v>
      </c>
      <c r="C50" s="1">
        <v>5610</v>
      </c>
      <c r="D50" s="10" t="s">
        <v>543</v>
      </c>
      <c r="E50" s="1">
        <v>1765</v>
      </c>
    </row>
    <row r="51" spans="2:5" x14ac:dyDescent="0.25">
      <c r="B51" s="10" t="s">
        <v>531</v>
      </c>
      <c r="C51" s="1">
        <v>1780</v>
      </c>
      <c r="D51" s="10" t="s">
        <v>544</v>
      </c>
      <c r="E51" s="1">
        <v>800</v>
      </c>
    </row>
    <row r="52" spans="2:5" x14ac:dyDescent="0.25">
      <c r="B52" s="10" t="s">
        <v>532</v>
      </c>
      <c r="C52" s="1">
        <v>1000</v>
      </c>
      <c r="D52" s="10" t="s">
        <v>545</v>
      </c>
      <c r="E52" s="1">
        <v>120</v>
      </c>
    </row>
    <row r="58" spans="2:5" x14ac:dyDescent="0.25">
      <c r="E58" s="4"/>
    </row>
    <row r="59" spans="2:5" x14ac:dyDescent="0.25">
      <c r="E59" s="4"/>
    </row>
    <row r="60" spans="2:5" x14ac:dyDescent="0.25">
      <c r="E60" s="4"/>
    </row>
    <row r="61" spans="2:5" x14ac:dyDescent="0.25">
      <c r="E61" s="4"/>
    </row>
    <row r="62" spans="2:5" x14ac:dyDescent="0.25">
      <c r="E62" s="4"/>
    </row>
    <row r="63" spans="2:5" x14ac:dyDescent="0.25">
      <c r="E63" s="4"/>
    </row>
    <row r="64" spans="2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013A-668F-4B83-915D-1E231E1D732D}">
  <dimension ref="A1:J6"/>
  <sheetViews>
    <sheetView topLeftCell="F25" zoomScale="130" zoomScaleNormal="130" workbookViewId="0">
      <selection activeCell="T23" sqref="T23"/>
    </sheetView>
  </sheetViews>
  <sheetFormatPr defaultRowHeight="13.8" x14ac:dyDescent="0.25"/>
  <cols>
    <col min="2" max="2" width="23.5546875" customWidth="1"/>
    <col min="3" max="3" width="23.44140625" customWidth="1"/>
    <col min="4" max="4" width="19.5546875" customWidth="1"/>
    <col min="5" max="7" width="22.88671875" customWidth="1"/>
    <col min="8" max="8" width="26.5546875" customWidth="1"/>
  </cols>
  <sheetData>
    <row r="1" spans="1:10" x14ac:dyDescent="0.25">
      <c r="B1" s="10" t="s">
        <v>551</v>
      </c>
      <c r="C1" s="10" t="s">
        <v>552</v>
      </c>
      <c r="D1" s="9" t="s">
        <v>554</v>
      </c>
      <c r="E1" s="9" t="s">
        <v>552</v>
      </c>
      <c r="F1" s="9" t="s">
        <v>560</v>
      </c>
      <c r="G1" s="9"/>
      <c r="H1" s="9" t="s">
        <v>553</v>
      </c>
      <c r="I1" s="9" t="s">
        <v>552</v>
      </c>
    </row>
    <row r="2" spans="1:10" x14ac:dyDescent="0.25">
      <c r="A2" s="9" t="s">
        <v>548</v>
      </c>
      <c r="B2" s="10" t="s">
        <v>558</v>
      </c>
      <c r="C2" s="10" t="s">
        <v>557</v>
      </c>
      <c r="D2" s="9" t="s">
        <v>571</v>
      </c>
      <c r="E2" s="9" t="s">
        <v>559</v>
      </c>
      <c r="F2" s="9">
        <v>1.26</v>
      </c>
      <c r="G2" s="9"/>
      <c r="H2" s="9" t="s">
        <v>555</v>
      </c>
      <c r="I2" s="9" t="s">
        <v>556</v>
      </c>
    </row>
    <row r="3" spans="1:10" x14ac:dyDescent="0.25">
      <c r="A3" s="9" t="s">
        <v>549</v>
      </c>
      <c r="B3" s="9" t="s">
        <v>562</v>
      </c>
      <c r="C3" s="9" t="s">
        <v>564</v>
      </c>
      <c r="D3" s="9" t="s">
        <v>572</v>
      </c>
      <c r="E3" s="9" t="s">
        <v>573</v>
      </c>
      <c r="H3" s="9" t="s">
        <v>565</v>
      </c>
      <c r="I3" s="9" t="s">
        <v>561</v>
      </c>
      <c r="J3">
        <v>0.74</v>
      </c>
    </row>
    <row r="4" spans="1:10" x14ac:dyDescent="0.25">
      <c r="A4" s="9" t="s">
        <v>550</v>
      </c>
      <c r="B4" s="9" t="s">
        <v>566</v>
      </c>
      <c r="C4" s="9" t="s">
        <v>567</v>
      </c>
      <c r="D4" s="9" t="s">
        <v>570</v>
      </c>
      <c r="E4" t="s">
        <v>569</v>
      </c>
      <c r="H4">
        <v>2.1930000000000001</v>
      </c>
      <c r="I4" s="9" t="s">
        <v>568</v>
      </c>
    </row>
    <row r="6" spans="1:10" x14ac:dyDescent="0.25">
      <c r="B6" s="9" t="s">
        <v>563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经纬度-产能</vt:lpstr>
      <vt:lpstr>Province</vt:lpstr>
      <vt:lpstr>i,j</vt:lpstr>
      <vt:lpstr>Yr_tonne</vt:lpstr>
      <vt:lpstr>Yr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2015-06-05T18:19:00Z</dcterms:created>
  <dcterms:modified xsi:type="dcterms:W3CDTF">2025-10-22T07:28:31Z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F5B4E8B27EF54EF9AEEF1B3B9EA24DDC_13</vt:lpwstr>
  </property>
  <property fmtid="{D5CDD505-2E9C-101B-9397-08002B2CF9AE}" pid="3" name="KSOProductBuildVer">
    <vt:lpwstr>2052-12.1.0.19770</vt:lpwstr>
  </property>
</Properties>
</file>