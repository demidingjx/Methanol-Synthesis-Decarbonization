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2_Cost_vs_ED\pycode\SOE\bar_allyears\"/>
    </mc:Choice>
  </mc:AlternateContent>
  <xr:revisionPtr revIDLastSave="0" documentId="13_ncr:1_{71BC911C-7326-4173-AFD3-42B0A0B698CB}" xr6:coauthVersionLast="47" xr6:coauthVersionMax="47" xr10:uidLastSave="{00000000-0000-0000-0000-000000000000}"/>
  <bookViews>
    <workbookView xWindow="-98" yWindow="-98" windowWidth="19396" windowHeight="11475" firstSheet="2" activeTab="5" xr2:uid="{00000000-000D-0000-FFFF-FFFF00000000}"/>
  </bookViews>
  <sheets>
    <sheet name="2030_ED25_CB" sheetId="1" r:id="rId1"/>
    <sheet name="2030_ED100_CB" sheetId="2" r:id="rId2"/>
    <sheet name="2040_ED25_CB" sheetId="3" r:id="rId3"/>
    <sheet name="2040_ED100_CB" sheetId="4" r:id="rId4"/>
    <sheet name="2050_ED25_CB" sheetId="5" r:id="rId5"/>
    <sheet name="2050_ED100_CB" sheetId="6" r:id="rId6"/>
    <sheet name="2030_ED25_LCCE" sheetId="7" r:id="rId7"/>
    <sheet name="2030_ED100_LCCE" sheetId="8" r:id="rId8"/>
    <sheet name="2040_ED25_LCCE" sheetId="9" r:id="rId9"/>
    <sheet name="2040_ED100_LCCE" sheetId="10" r:id="rId10"/>
    <sheet name="2050_ED25_LCCE" sheetId="11" r:id="rId11"/>
    <sheet name="2050_ED100_LCC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6" l="1"/>
  <c r="C23" i="6"/>
  <c r="D24" i="6" s="1"/>
  <c r="B23" i="6"/>
  <c r="C24" i="6" s="1"/>
  <c r="D23" i="5"/>
  <c r="C23" i="5"/>
  <c r="D24" i="5" s="1"/>
  <c r="B23" i="5"/>
  <c r="C24" i="5" s="1"/>
  <c r="D23" i="4"/>
  <c r="C23" i="4"/>
  <c r="D24" i="4" s="1"/>
  <c r="B23" i="4"/>
  <c r="C24" i="4" s="1"/>
  <c r="D23" i="3"/>
  <c r="C23" i="3"/>
  <c r="D24" i="3" s="1"/>
  <c r="B23" i="3"/>
  <c r="C24" i="3" s="1"/>
  <c r="C24" i="2"/>
  <c r="D23" i="2"/>
  <c r="C23" i="2"/>
  <c r="D24" i="2" s="1"/>
  <c r="B23" i="2"/>
  <c r="D24" i="1"/>
  <c r="C24" i="1"/>
  <c r="C23" i="1"/>
  <c r="D23" i="1"/>
  <c r="B23" i="1"/>
</calcChain>
</file>

<file path=xl/sharedStrings.xml><?xml version="1.0" encoding="utf-8"?>
<sst xmlns="http://schemas.openxmlformats.org/spreadsheetml/2006/main" count="175" uniqueCount="26">
  <si>
    <t>Type</t>
  </si>
  <si>
    <t>City</t>
  </si>
  <si>
    <t>Prov</t>
  </si>
  <si>
    <t>State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</si>
  <si>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</si>
  <si>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</si>
  <si>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</si>
  <si>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</si>
  <si>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</si>
  <si>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</si>
  <si>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</si>
  <si>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</si>
  <si>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</si>
  <si>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</si>
  <si>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</si>
  <si>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</si>
  <si>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</si>
  <si>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</si>
  <si>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</si>
  <si>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</si>
  <si>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CO2c</t>
  </si>
  <si>
    <t>OM_Msyn</t>
  </si>
  <si>
    <t>TNS</t>
  </si>
  <si>
    <t>CO2p</t>
  </si>
  <si>
    <t>Value</t>
  </si>
  <si>
    <t>Infeasible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</si>
</sst>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B23" sqref="B23:D24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12082384.53108852</v>
      </c>
      <c r="C2">
        <v>5269463.8803933496</v>
      </c>
      <c r="D2">
        <v>2417243.9877216741</v>
      </c>
    </row>
    <row r="3" spans="1:4" x14ac:dyDescent="0.3">
      <c r="A3" t="s">
        <v>5</v>
      </c>
      <c r="B3">
        <v>17503.391454996581</v>
      </c>
      <c r="C3">
        <v>17083.234488902581</v>
      </c>
      <c r="D3">
        <v>16835.408662975889</v>
      </c>
    </row>
    <row r="4" spans="1:4" x14ac:dyDescent="0.3">
      <c r="A4" t="s">
        <v>6</v>
      </c>
      <c r="B4">
        <v>-3803742.9506772272</v>
      </c>
      <c r="C4">
        <v>-3736205.379671182</v>
      </c>
      <c r="D4">
        <v>-3704322.247632029</v>
      </c>
    </row>
    <row r="5" spans="1:4" x14ac:dyDescent="0.3">
      <c r="A5" t="s">
        <v>7</v>
      </c>
      <c r="B5">
        <v>6155422.0490162652</v>
      </c>
      <c r="C5">
        <v>6155422.0490162699</v>
      </c>
      <c r="D5">
        <v>6150176.8389666947</v>
      </c>
    </row>
    <row r="6" spans="1:4" x14ac:dyDescent="0.3">
      <c r="A6" t="s">
        <v>8</v>
      </c>
      <c r="B6">
        <v>13179801.50432473</v>
      </c>
      <c r="C6">
        <v>13179801.50432474</v>
      </c>
      <c r="D6">
        <v>13179801.5043249</v>
      </c>
    </row>
    <row r="7" spans="1:4" x14ac:dyDescent="0.3">
      <c r="A7" t="s">
        <v>9</v>
      </c>
      <c r="B7">
        <v>1322925.9508400219</v>
      </c>
      <c r="C7">
        <v>1927692.264576986</v>
      </c>
      <c r="D7">
        <v>491530.27830460889</v>
      </c>
    </row>
    <row r="8" spans="1:4" x14ac:dyDescent="0.3">
      <c r="A8" t="s">
        <v>10</v>
      </c>
      <c r="B8">
        <v>736846.59338379989</v>
      </c>
      <c r="C8">
        <v>1073690.842139676</v>
      </c>
      <c r="D8">
        <v>273773.75950918958</v>
      </c>
    </row>
    <row r="9" spans="1:4" x14ac:dyDescent="0.3">
      <c r="A9" t="s">
        <v>11</v>
      </c>
      <c r="B9">
        <v>1916722.1019508929</v>
      </c>
      <c r="C9">
        <v>4873138.5025096489</v>
      </c>
      <c r="D9">
        <v>7006280.6175780352</v>
      </c>
    </row>
    <row r="10" spans="1:4" x14ac:dyDescent="0.3">
      <c r="A10" t="s">
        <v>12</v>
      </c>
      <c r="B10">
        <v>797264.15275407746</v>
      </c>
      <c r="C10">
        <v>2026991.098762929</v>
      </c>
      <c r="D10">
        <v>2914275.561827783</v>
      </c>
    </row>
    <row r="11" spans="1:4" x14ac:dyDescent="0.3">
      <c r="A11" t="s">
        <v>13</v>
      </c>
      <c r="B11">
        <v>10231365.721517051</v>
      </c>
      <c r="C11">
        <v>8392858.8058901764</v>
      </c>
      <c r="D11">
        <v>7139784.3091959776</v>
      </c>
    </row>
    <row r="12" spans="1:4" x14ac:dyDescent="0.3">
      <c r="A12" t="s">
        <v>14</v>
      </c>
      <c r="B12">
        <v>4751431.4349619076</v>
      </c>
      <c r="C12">
        <v>4445024.7063550074</v>
      </c>
      <c r="D12">
        <v>4258487.586410528</v>
      </c>
    </row>
    <row r="13" spans="1:4" x14ac:dyDescent="0.3">
      <c r="A13" t="s">
        <v>15</v>
      </c>
      <c r="B13">
        <v>3525.7861938595061</v>
      </c>
    </row>
    <row r="14" spans="1:4" x14ac:dyDescent="0.3">
      <c r="A14" t="s">
        <v>16</v>
      </c>
      <c r="B14">
        <v>1450.6957189306679</v>
      </c>
    </row>
    <row r="15" spans="1:4" x14ac:dyDescent="0.3">
      <c r="A15" t="s">
        <v>17</v>
      </c>
      <c r="B15">
        <v>60064.127052286793</v>
      </c>
      <c r="C15">
        <v>133.84085841692601</v>
      </c>
      <c r="D15">
        <v>2123.2027085230538</v>
      </c>
    </row>
    <row r="16" spans="1:4" x14ac:dyDescent="0.3">
      <c r="A16" t="s">
        <v>18</v>
      </c>
      <c r="B16">
        <v>8465.4047708279995</v>
      </c>
      <c r="C16">
        <v>18.863456392</v>
      </c>
      <c r="D16">
        <v>299.24301276400001</v>
      </c>
    </row>
    <row r="17" spans="1:4" x14ac:dyDescent="0.3">
      <c r="A17" t="s">
        <v>19</v>
      </c>
      <c r="B17">
        <v>12537372.883914361</v>
      </c>
      <c r="C17">
        <v>12547606.36679077</v>
      </c>
      <c r="D17">
        <v>12540012.69228046</v>
      </c>
    </row>
    <row r="18" spans="1:4" x14ac:dyDescent="0.3">
      <c r="A18" t="s">
        <v>20</v>
      </c>
      <c r="B18">
        <v>1251663.3647679479</v>
      </c>
      <c r="C18">
        <v>1245628.878550932</v>
      </c>
      <c r="D18">
        <v>1250106.7210139879</v>
      </c>
    </row>
    <row r="19" spans="1:4" x14ac:dyDescent="0.3">
      <c r="A19" t="s">
        <v>21</v>
      </c>
      <c r="B19">
        <v>1107348.2520993131</v>
      </c>
      <c r="C19">
        <v>1107348.2520993131</v>
      </c>
      <c r="D19">
        <v>1107348.2520993131</v>
      </c>
    </row>
    <row r="20" spans="1:4" x14ac:dyDescent="0.3">
      <c r="A20" t="s">
        <v>22</v>
      </c>
      <c r="C20">
        <v>31211.21115576147</v>
      </c>
      <c r="D20">
        <v>871423.94937638054</v>
      </c>
    </row>
    <row r="21" spans="1:4" x14ac:dyDescent="0.3">
      <c r="A21" t="s">
        <v>23</v>
      </c>
      <c r="C21">
        <v>2.9530307080750959</v>
      </c>
    </row>
    <row r="23" spans="1:4" x14ac:dyDescent="0.3">
      <c r="B23">
        <f>SUM(B2:B21)</f>
        <v>62357814.995132558</v>
      </c>
      <c r="C23">
        <f t="shared" ref="C23:D23" si="0">SUM(C2:C21)</f>
        <v>58556911.874728791</v>
      </c>
      <c r="D23">
        <f t="shared" si="0"/>
        <v>55915181.665361769</v>
      </c>
    </row>
    <row r="24" spans="1:4" x14ac:dyDescent="0.3">
      <c r="C24">
        <f>(B23-C23)/B23</f>
        <v>6.0953115831599493E-2</v>
      </c>
      <c r="D24">
        <f>(C23-D23)/C23</f>
        <v>4.5113892191215511E-2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B23" sqref="B23:D24"/>
    </sheetView>
  </sheetViews>
  <sheetFormatPr defaultRowHeight="13.5" x14ac:dyDescent="0.3"/>
  <cols>
    <col min="2" max="2" width="12.199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48032574.171283171</v>
      </c>
      <c r="C2">
        <v>25114789.241048999</v>
      </c>
      <c r="D2">
        <v>18578103.157884531</v>
      </c>
    </row>
    <row r="3" spans="1:4" x14ac:dyDescent="0.3">
      <c r="A3" t="s">
        <v>5</v>
      </c>
      <c r="B3">
        <v>69913.033608282611</v>
      </c>
      <c r="C3">
        <v>68624.005648000617</v>
      </c>
      <c r="D3">
        <v>68104.77712357651</v>
      </c>
    </row>
    <row r="4" spans="1:4" x14ac:dyDescent="0.3">
      <c r="A4" t="s">
        <v>6</v>
      </c>
      <c r="B4">
        <v>-15188278.971559171</v>
      </c>
      <c r="C4">
        <v>-15005991.737945789</v>
      </c>
      <c r="D4">
        <v>-14928140.863121711</v>
      </c>
    </row>
    <row r="5" spans="1:4" x14ac:dyDescent="0.3">
      <c r="A5" t="s">
        <v>7</v>
      </c>
      <c r="B5">
        <v>7.1190060058957854E-10</v>
      </c>
      <c r="C5">
        <v>-4.3441097828900081E-10</v>
      </c>
      <c r="D5">
        <v>-4.7356700620343183E-11</v>
      </c>
    </row>
    <row r="6" spans="1:4" x14ac:dyDescent="0.3">
      <c r="A6" t="s">
        <v>8</v>
      </c>
      <c r="B6">
        <v>1.540041026926133E-9</v>
      </c>
      <c r="C6">
        <v>-9.3868153386786997E-10</v>
      </c>
      <c r="D6">
        <v>-9.9368933641967338E-11</v>
      </c>
    </row>
    <row r="7" spans="1:4" x14ac:dyDescent="0.3">
      <c r="A7" t="s">
        <v>9</v>
      </c>
      <c r="B7">
        <v>5293168.5249896711</v>
      </c>
      <c r="C7">
        <v>7323197.4500757819</v>
      </c>
      <c r="D7">
        <v>5523288.2619692665</v>
      </c>
    </row>
    <row r="8" spans="1:4" x14ac:dyDescent="0.3">
      <c r="A8" t="s">
        <v>10</v>
      </c>
      <c r="B8">
        <v>2948202.1978391432</v>
      </c>
      <c r="C8">
        <v>4078892.768214962</v>
      </c>
      <c r="D8">
        <v>3076374.862496695</v>
      </c>
    </row>
    <row r="9" spans="1:4" x14ac:dyDescent="0.3">
      <c r="A9" t="s">
        <v>11</v>
      </c>
      <c r="B9">
        <v>7612567.7136425432</v>
      </c>
      <c r="C9">
        <v>17938512.367455911</v>
      </c>
      <c r="D9">
        <v>22111062.546693269</v>
      </c>
    </row>
    <row r="10" spans="1:4" x14ac:dyDescent="0.3">
      <c r="A10" t="s">
        <v>12</v>
      </c>
      <c r="B10">
        <v>3166461.8164119041</v>
      </c>
      <c r="C10">
        <v>7461557.859510038</v>
      </c>
      <c r="D10">
        <v>9197137.931387756</v>
      </c>
    </row>
    <row r="11" spans="1:4" x14ac:dyDescent="0.3">
      <c r="A11" t="s">
        <v>13</v>
      </c>
      <c r="B11">
        <v>40945392.500329763</v>
      </c>
      <c r="C11">
        <v>34391040.610066451</v>
      </c>
      <c r="D11">
        <v>31257108.7674396</v>
      </c>
    </row>
    <row r="12" spans="1:4" x14ac:dyDescent="0.3">
      <c r="A12" t="s">
        <v>14</v>
      </c>
      <c r="B12">
        <v>18978106.43235011</v>
      </c>
      <c r="C12">
        <v>17957911.01220962</v>
      </c>
      <c r="D12">
        <v>17455761.880723801</v>
      </c>
    </row>
    <row r="13" spans="1:4" x14ac:dyDescent="0.3">
      <c r="A13" t="s">
        <v>15</v>
      </c>
      <c r="B13">
        <v>109079.0103725285</v>
      </c>
      <c r="C13">
        <v>220.3616371162191</v>
      </c>
      <c r="D13">
        <v>220.3616371162191</v>
      </c>
    </row>
    <row r="14" spans="1:4" x14ac:dyDescent="0.3">
      <c r="A14" t="s">
        <v>16</v>
      </c>
      <c r="B14">
        <v>46170.854685650673</v>
      </c>
      <c r="C14">
        <v>90.42000224960789</v>
      </c>
      <c r="D14">
        <v>88.833180315355719</v>
      </c>
    </row>
    <row r="15" spans="1:4" x14ac:dyDescent="0.3">
      <c r="A15" t="s">
        <v>17</v>
      </c>
      <c r="B15">
        <v>242902.9070005728</v>
      </c>
      <c r="C15">
        <v>182972.62080670299</v>
      </c>
      <c r="D15">
        <v>130148.0674596953</v>
      </c>
    </row>
    <row r="16" spans="1:4" x14ac:dyDescent="0.3">
      <c r="A16" t="s">
        <v>18</v>
      </c>
      <c r="B16">
        <v>34234.601061971996</v>
      </c>
      <c r="C16">
        <v>25788.059747536008</v>
      </c>
      <c r="D16">
        <v>18342.996481548002</v>
      </c>
    </row>
    <row r="17" spans="1:4" x14ac:dyDescent="0.3">
      <c r="A17" t="s">
        <v>23</v>
      </c>
      <c r="B17">
        <v>9781031.0318799894</v>
      </c>
      <c r="C17">
        <v>9794078.0134013519</v>
      </c>
      <c r="D17">
        <v>9790580.0725050587</v>
      </c>
    </row>
    <row r="18" spans="1:4" x14ac:dyDescent="0.3">
      <c r="A18" t="s">
        <v>21</v>
      </c>
      <c r="B18">
        <v>1107348.2520993131</v>
      </c>
      <c r="C18">
        <v>1107348.2520993131</v>
      </c>
      <c r="D18">
        <v>1107348.2520993131</v>
      </c>
    </row>
    <row r="19" spans="1:4" x14ac:dyDescent="0.3">
      <c r="A19" t="s">
        <v>22</v>
      </c>
      <c r="C19">
        <v>113253.2337225815</v>
      </c>
      <c r="D19">
        <v>1907065.6612408641</v>
      </c>
    </row>
    <row r="20" spans="1:4" x14ac:dyDescent="0.3">
      <c r="A20" t="s">
        <v>19</v>
      </c>
      <c r="C20">
        <v>-4.1326213684413928E-10</v>
      </c>
      <c r="D20">
        <v>-3.7868626714043782E-11</v>
      </c>
    </row>
    <row r="21" spans="1:4" x14ac:dyDescent="0.3">
      <c r="A21" t="s">
        <v>20</v>
      </c>
      <c r="C21">
        <v>-3.6553899082036879E-10</v>
      </c>
      <c r="D21">
        <v>-3.3495591196697212E-11</v>
      </c>
    </row>
    <row r="23" spans="1:4" x14ac:dyDescent="0.3">
      <c r="B23">
        <f>SUM(B2:B21)</f>
        <v>123178874.07599545</v>
      </c>
      <c r="C23">
        <f t="shared" ref="C23:D23" si="0">SUM(C2:C21)</f>
        <v>110552284.53770086</v>
      </c>
      <c r="D23">
        <f t="shared" si="0"/>
        <v>105292595.56720071</v>
      </c>
    </row>
    <row r="24" spans="1:4" x14ac:dyDescent="0.3">
      <c r="C24">
        <f>(B23-C23)/B23</f>
        <v>0.10250612885537974</v>
      </c>
      <c r="D24">
        <f>(C23-D23)/C23</f>
        <v>4.7576483765077525E-2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>
      <selection activeCell="B23" sqref="B23:D24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9895391.2171330079</v>
      </c>
      <c r="C2">
        <v>3733580.8251359272</v>
      </c>
      <c r="D2">
        <v>954441.01914225437</v>
      </c>
    </row>
    <row r="3" spans="1:4" x14ac:dyDescent="0.3">
      <c r="A3" t="s">
        <v>5</v>
      </c>
      <c r="B3">
        <v>17953.93969436059</v>
      </c>
      <c r="C3">
        <v>17335.507769615029</v>
      </c>
      <c r="D3">
        <v>16999.498823252819</v>
      </c>
    </row>
    <row r="4" spans="1:4" x14ac:dyDescent="0.3">
      <c r="A4" t="s">
        <v>6</v>
      </c>
      <c r="B4">
        <v>-3863477.7564265281</v>
      </c>
      <c r="C4">
        <v>-3768848.2647521119</v>
      </c>
      <c r="D4">
        <v>-3725812.2722091749</v>
      </c>
    </row>
    <row r="5" spans="1:4" x14ac:dyDescent="0.3">
      <c r="A5" t="s">
        <v>7</v>
      </c>
      <c r="B5">
        <v>6245331.5272971028</v>
      </c>
      <c r="C5">
        <v>6245331.5272971047</v>
      </c>
      <c r="D5">
        <v>6236589.3505618284</v>
      </c>
    </row>
    <row r="6" spans="1:4" x14ac:dyDescent="0.3">
      <c r="A6" t="s">
        <v>8</v>
      </c>
      <c r="B6">
        <v>15295697.71073609</v>
      </c>
      <c r="C6">
        <v>15295697.7107361</v>
      </c>
      <c r="D6">
        <v>15295697.71073609</v>
      </c>
    </row>
    <row r="7" spans="1:4" x14ac:dyDescent="0.3">
      <c r="A7" t="s">
        <v>9</v>
      </c>
      <c r="B7">
        <v>973369.75657962344</v>
      </c>
      <c r="C7">
        <v>1681956.15872882</v>
      </c>
      <c r="D7">
        <v>592451.57898529235</v>
      </c>
    </row>
    <row r="8" spans="1:4" x14ac:dyDescent="0.3">
      <c r="A8" t="s">
        <v>10</v>
      </c>
      <c r="B8">
        <v>648267.86147671123</v>
      </c>
      <c r="C8">
        <v>1120189.028625858</v>
      </c>
      <c r="D8">
        <v>394574.94496941363</v>
      </c>
    </row>
    <row r="9" spans="1:4" x14ac:dyDescent="0.3">
      <c r="A9" t="s">
        <v>11</v>
      </c>
      <c r="B9">
        <v>2486472.7290579081</v>
      </c>
      <c r="C9">
        <v>4059396.90982043</v>
      </c>
      <c r="D9">
        <v>6104957.1130208252</v>
      </c>
    </row>
    <row r="10" spans="1:4" x14ac:dyDescent="0.3">
      <c r="A10" t="s">
        <v>12</v>
      </c>
      <c r="B10">
        <v>1165543.906760965</v>
      </c>
      <c r="C10">
        <v>1902858.3253990309</v>
      </c>
      <c r="D10">
        <v>2861722.7452216768</v>
      </c>
    </row>
    <row r="11" spans="1:4" x14ac:dyDescent="0.3">
      <c r="A11" t="s">
        <v>13</v>
      </c>
      <c r="B11">
        <v>5965770.0532933436</v>
      </c>
      <c r="C11">
        <v>4498472.2110458491</v>
      </c>
      <c r="D11">
        <v>3514067.790315174</v>
      </c>
    </row>
    <row r="12" spans="1:4" x14ac:dyDescent="0.3">
      <c r="A12" t="s">
        <v>14</v>
      </c>
      <c r="B12">
        <v>4186199.4823342371</v>
      </c>
      <c r="C12">
        <v>3762756.067048748</v>
      </c>
      <c r="D12">
        <v>3497010.0913382531</v>
      </c>
    </row>
    <row r="13" spans="1:4" x14ac:dyDescent="0.3">
      <c r="A13" t="s">
        <v>15</v>
      </c>
      <c r="B13">
        <v>20646.16811577254</v>
      </c>
      <c r="C13">
        <v>2638.983894497243</v>
      </c>
    </row>
    <row r="14" spans="1:4" x14ac:dyDescent="0.3">
      <c r="A14" t="s">
        <v>16</v>
      </c>
      <c r="B14">
        <v>11417.81965070869</v>
      </c>
      <c r="C14">
        <v>1320.963849323517</v>
      </c>
    </row>
    <row r="15" spans="1:4" x14ac:dyDescent="0.3">
      <c r="A15" t="s">
        <v>17</v>
      </c>
      <c r="B15">
        <v>62010.509704854558</v>
      </c>
      <c r="C15">
        <v>504.43756369360273</v>
      </c>
      <c r="D15">
        <v>3763.1042251542758</v>
      </c>
    </row>
    <row r="16" spans="1:4" x14ac:dyDescent="0.3">
      <c r="A16" t="s">
        <v>18</v>
      </c>
      <c r="B16">
        <v>9532.5352358992059</v>
      </c>
      <c r="C16">
        <v>77.544417440000018</v>
      </c>
      <c r="D16">
        <v>578.48135410240013</v>
      </c>
    </row>
    <row r="17" spans="1:4" x14ac:dyDescent="0.3">
      <c r="A17" t="s">
        <v>19</v>
      </c>
      <c r="B17">
        <v>14798788.225986511</v>
      </c>
      <c r="C17">
        <v>14806893.415404851</v>
      </c>
      <c r="D17">
        <v>14794549.10477148</v>
      </c>
    </row>
    <row r="18" spans="1:4" x14ac:dyDescent="0.3">
      <c r="A18" t="s">
        <v>20</v>
      </c>
      <c r="B18">
        <v>1084461.539935041</v>
      </c>
      <c r="C18">
        <v>1080932.4053758071</v>
      </c>
      <c r="D18">
        <v>1086307.323964111</v>
      </c>
    </row>
    <row r="19" spans="1:4" x14ac:dyDescent="0.3">
      <c r="A19" t="s">
        <v>21</v>
      </c>
      <c r="B19">
        <v>1227227.5564737611</v>
      </c>
      <c r="C19">
        <v>1227227.5564737611</v>
      </c>
      <c r="D19">
        <v>1227227.5564737611</v>
      </c>
    </row>
    <row r="20" spans="1:4" x14ac:dyDescent="0.3">
      <c r="A20" t="s">
        <v>22</v>
      </c>
      <c r="C20">
        <v>35277.63707018656</v>
      </c>
      <c r="D20">
        <v>743711.80959030369</v>
      </c>
    </row>
    <row r="21" spans="1:4" x14ac:dyDescent="0.3">
      <c r="A21" t="s">
        <v>23</v>
      </c>
      <c r="C21">
        <v>1.996435705516092</v>
      </c>
      <c r="D21">
        <v>162.3260182472045</v>
      </c>
    </row>
    <row r="23" spans="1:4" x14ac:dyDescent="0.3">
      <c r="B23">
        <f>SUM(B2:B21)</f>
        <v>60230604.783039361</v>
      </c>
      <c r="C23">
        <f t="shared" ref="C23:D23" si="0">SUM(C2:C21)</f>
        <v>55703600.94734063</v>
      </c>
      <c r="D23">
        <f t="shared" si="0"/>
        <v>53598999.277302042</v>
      </c>
    </row>
    <row r="24" spans="1:4" x14ac:dyDescent="0.3">
      <c r="C24">
        <f>(B23-C23)/B23</f>
        <v>7.5161188435775309E-2</v>
      </c>
      <c r="D24">
        <f>(C23-D23)/C23</f>
        <v>3.778214754963817E-2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activeCell="B23" sqref="B23:D24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40840934.353582554</v>
      </c>
      <c r="C2">
        <v>19597295.494756792</v>
      </c>
      <c r="D2">
        <v>13001440.804143149</v>
      </c>
    </row>
    <row r="3" spans="1:4" x14ac:dyDescent="0.3">
      <c r="A3" t="s">
        <v>5</v>
      </c>
      <c r="B3">
        <v>71793.675445837231</v>
      </c>
      <c r="C3">
        <v>70009.629856496787</v>
      </c>
      <c r="D3">
        <v>69316.907946779989</v>
      </c>
    </row>
    <row r="4" spans="1:4" x14ac:dyDescent="0.3">
      <c r="A4" t="s">
        <v>6</v>
      </c>
      <c r="B4">
        <v>-15451019.21757805</v>
      </c>
      <c r="C4">
        <v>-15197816.85941245</v>
      </c>
      <c r="D4">
        <v>-15092516.899822051</v>
      </c>
    </row>
    <row r="5" spans="1:4" x14ac:dyDescent="0.3">
      <c r="A5" t="s">
        <v>7</v>
      </c>
      <c r="B5">
        <v>5.1972119993857879E-11</v>
      </c>
      <c r="C5">
        <v>5.5870010181780167E-11</v>
      </c>
      <c r="D5">
        <v>-9.6541391944128615E-11</v>
      </c>
    </row>
    <row r="6" spans="1:4" x14ac:dyDescent="0.3">
      <c r="A6" t="s">
        <v>8</v>
      </c>
      <c r="B6">
        <v>1.241767636565445E-10</v>
      </c>
      <c r="C6">
        <v>1.332377547027932E-10</v>
      </c>
      <c r="D6">
        <v>-2.306434084499666E-10</v>
      </c>
    </row>
    <row r="7" spans="1:4" x14ac:dyDescent="0.3">
      <c r="A7" t="s">
        <v>9</v>
      </c>
      <c r="B7">
        <v>3994477.116219379</v>
      </c>
      <c r="C7">
        <v>5893337.27417769</v>
      </c>
      <c r="D7">
        <v>4858056.1615451267</v>
      </c>
    </row>
    <row r="8" spans="1:4" x14ac:dyDescent="0.3">
      <c r="A8" t="s">
        <v>10</v>
      </c>
      <c r="B8">
        <v>2660336.547694426</v>
      </c>
      <c r="C8">
        <v>3924984.4428258049</v>
      </c>
      <c r="D8">
        <v>3235483.389010556</v>
      </c>
    </row>
    <row r="9" spans="1:4" x14ac:dyDescent="0.3">
      <c r="A9" t="s">
        <v>11</v>
      </c>
      <c r="B9">
        <v>9064738.4540808126</v>
      </c>
      <c r="C9">
        <v>15735636.43082677</v>
      </c>
      <c r="D9">
        <v>19108578.34095639</v>
      </c>
    </row>
    <row r="10" spans="1:4" x14ac:dyDescent="0.3">
      <c r="A10" t="s">
        <v>12</v>
      </c>
      <c r="B10">
        <v>4249131.9321803972</v>
      </c>
      <c r="C10">
        <v>7376141.6912483126</v>
      </c>
      <c r="D10">
        <v>8957221.5258539263</v>
      </c>
    </row>
    <row r="11" spans="1:4" x14ac:dyDescent="0.3">
      <c r="A11" t="s">
        <v>13</v>
      </c>
      <c r="B11">
        <v>23871225.40341584</v>
      </c>
      <c r="C11">
        <v>18710665.58551921</v>
      </c>
      <c r="D11">
        <v>16225218.962965161</v>
      </c>
    </row>
    <row r="12" spans="1:4" x14ac:dyDescent="0.3">
      <c r="A12" t="s">
        <v>14</v>
      </c>
      <c r="B12">
        <v>16748086.470660061</v>
      </c>
      <c r="C12">
        <v>15302996.862625919</v>
      </c>
      <c r="D12">
        <v>14588743.53017438</v>
      </c>
    </row>
    <row r="13" spans="1:4" x14ac:dyDescent="0.3">
      <c r="A13" t="s">
        <v>15</v>
      </c>
      <c r="B13">
        <v>103696.54361906811</v>
      </c>
      <c r="C13">
        <v>18783.355954950959</v>
      </c>
      <c r="D13">
        <v>465.70304020539572</v>
      </c>
    </row>
    <row r="14" spans="1:4" x14ac:dyDescent="0.3">
      <c r="A14" t="s">
        <v>16</v>
      </c>
      <c r="B14">
        <v>57527.08452952042</v>
      </c>
      <c r="C14">
        <v>10047.79172700006</v>
      </c>
      <c r="D14">
        <v>245.40262735693861</v>
      </c>
    </row>
    <row r="15" spans="1:4" x14ac:dyDescent="0.3">
      <c r="A15" t="s">
        <v>17</v>
      </c>
      <c r="B15">
        <v>250932.46605938271</v>
      </c>
      <c r="C15">
        <v>168900.82945152899</v>
      </c>
      <c r="D15">
        <v>114250.0638009641</v>
      </c>
    </row>
    <row r="16" spans="1:4" x14ac:dyDescent="0.3">
      <c r="A16" t="s">
        <v>18</v>
      </c>
      <c r="B16">
        <v>38574.470455527997</v>
      </c>
      <c r="C16">
        <v>25964.197291435201</v>
      </c>
      <c r="D16">
        <v>17563.035105985611</v>
      </c>
    </row>
    <row r="17" spans="1:4" x14ac:dyDescent="0.3">
      <c r="A17" t="s">
        <v>23</v>
      </c>
      <c r="B17">
        <v>8780081.1898879297</v>
      </c>
      <c r="C17">
        <v>8794708.0973637756</v>
      </c>
      <c r="D17">
        <v>8787950.7181890775</v>
      </c>
    </row>
    <row r="18" spans="1:4" x14ac:dyDescent="0.3">
      <c r="A18" t="s">
        <v>21</v>
      </c>
      <c r="B18">
        <v>1227227.5564737611</v>
      </c>
      <c r="C18">
        <v>1227227.5564737611</v>
      </c>
      <c r="D18">
        <v>1227227.5564737611</v>
      </c>
    </row>
    <row r="19" spans="1:4" x14ac:dyDescent="0.3">
      <c r="A19" t="s">
        <v>22</v>
      </c>
      <c r="C19">
        <v>127464.9248250806</v>
      </c>
      <c r="D19">
        <v>1831383.722532995</v>
      </c>
    </row>
    <row r="20" spans="1:4" x14ac:dyDescent="0.3">
      <c r="A20" t="s">
        <v>19</v>
      </c>
      <c r="C20">
        <v>6.4018629927886653E-11</v>
      </c>
      <c r="D20">
        <v>-1.181770858238452E-10</v>
      </c>
    </row>
    <row r="21" spans="1:4" x14ac:dyDescent="0.3">
      <c r="A21" t="s">
        <v>20</v>
      </c>
      <c r="C21">
        <v>4.181216767165096E-11</v>
      </c>
      <c r="D21">
        <v>-7.718440917869883E-11</v>
      </c>
    </row>
    <row r="23" spans="1:4" x14ac:dyDescent="0.3">
      <c r="B23">
        <f>SUM(B2:B21)</f>
        <v>96507744.04672645</v>
      </c>
      <c r="C23">
        <f t="shared" ref="C23:D23" si="0">SUM(C2:C21)</f>
        <v>81786347.305512086</v>
      </c>
      <c r="D23">
        <f t="shared" si="0"/>
        <v>76930628.924543768</v>
      </c>
    </row>
    <row r="24" spans="1:4" x14ac:dyDescent="0.3">
      <c r="C24">
        <f>(B23-C23)/B23</f>
        <v>0.15254109280688047</v>
      </c>
      <c r="D24">
        <f>(C23-D23)/C23</f>
        <v>5.9370769583703617E-2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>
      <selection activeCell="B23" sqref="B23:D24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6805720.2390534179</v>
      </c>
      <c r="C2">
        <v>1350789.186682425</v>
      </c>
      <c r="D2">
        <v>75840.17062102737</v>
      </c>
    </row>
    <row r="3" spans="1:4" x14ac:dyDescent="0.3">
      <c r="A3" t="s">
        <v>5</v>
      </c>
      <c r="B3">
        <v>18935.836828729</v>
      </c>
      <c r="C3">
        <v>18013.650869319779</v>
      </c>
      <c r="D3">
        <v>17684.381284753261</v>
      </c>
    </row>
    <row r="4" spans="1:4" x14ac:dyDescent="0.3">
      <c r="A4" t="s">
        <v>6</v>
      </c>
      <c r="B4">
        <v>-3988928.8894190462</v>
      </c>
      <c r="C4">
        <v>-3856413.761408424</v>
      </c>
      <c r="D4">
        <v>-3816284.1657376369</v>
      </c>
    </row>
    <row r="5" spans="1:4" x14ac:dyDescent="0.3">
      <c r="A5" t="s">
        <v>7</v>
      </c>
      <c r="B5">
        <v>6357635.7717459407</v>
      </c>
      <c r="C5">
        <v>6357635.771745923</v>
      </c>
      <c r="D5">
        <v>6353718.7129167579</v>
      </c>
    </row>
    <row r="6" spans="1:4" x14ac:dyDescent="0.3">
      <c r="A6" t="s">
        <v>8</v>
      </c>
      <c r="B6">
        <v>17751281.63044253</v>
      </c>
      <c r="C6">
        <v>17751281.63044247</v>
      </c>
      <c r="D6">
        <v>17751281.63044247</v>
      </c>
    </row>
    <row r="7" spans="1:4" x14ac:dyDescent="0.3">
      <c r="A7" t="s">
        <v>9</v>
      </c>
      <c r="B7">
        <v>988648.45313144999</v>
      </c>
      <c r="C7">
        <v>1903527.65008353</v>
      </c>
      <c r="D7">
        <v>1206923.391908091</v>
      </c>
    </row>
    <row r="8" spans="1:4" x14ac:dyDescent="0.3">
      <c r="A8" t="s">
        <v>10</v>
      </c>
      <c r="B8">
        <v>757454.3846910256</v>
      </c>
      <c r="C8">
        <v>1458390.3513625059</v>
      </c>
      <c r="D8">
        <v>924686.03201809595</v>
      </c>
    </row>
    <row r="9" spans="1:4" x14ac:dyDescent="0.3">
      <c r="A9" t="s">
        <v>11</v>
      </c>
      <c r="B9">
        <v>3111483.8875774881</v>
      </c>
      <c r="C9">
        <v>3141967.9601582382</v>
      </c>
      <c r="D9">
        <v>3970178.1386810429</v>
      </c>
    </row>
    <row r="10" spans="1:4" x14ac:dyDescent="0.3">
      <c r="A10" t="s">
        <v>12</v>
      </c>
      <c r="B10">
        <v>1615756.872025256</v>
      </c>
      <c r="C10">
        <v>1631586.8912505871</v>
      </c>
      <c r="D10">
        <v>2061666.665332709</v>
      </c>
    </row>
    <row r="11" spans="1:4" x14ac:dyDescent="0.3">
      <c r="A11" t="s">
        <v>13</v>
      </c>
      <c r="B11">
        <v>4752777.9642196381</v>
      </c>
      <c r="C11">
        <v>3379414.8006583559</v>
      </c>
      <c r="D11">
        <v>2664352.226082345</v>
      </c>
    </row>
    <row r="12" spans="1:4" x14ac:dyDescent="0.3">
      <c r="A12" t="s">
        <v>14</v>
      </c>
      <c r="B12">
        <v>3662031.715535901</v>
      </c>
      <c r="C12">
        <v>3143175.962050165</v>
      </c>
      <c r="D12">
        <v>2882871.2859267951</v>
      </c>
    </row>
    <row r="13" spans="1:4" x14ac:dyDescent="0.3">
      <c r="A13" t="s">
        <v>15</v>
      </c>
      <c r="B13">
        <v>41307.051260765613</v>
      </c>
      <c r="C13">
        <v>3704.1649228403949</v>
      </c>
    </row>
    <row r="14" spans="1:4" x14ac:dyDescent="0.3">
      <c r="A14" t="s">
        <v>16</v>
      </c>
      <c r="B14">
        <v>26832.703871083391</v>
      </c>
      <c r="C14">
        <v>2315.5361179468769</v>
      </c>
    </row>
    <row r="15" spans="1:4" x14ac:dyDescent="0.3">
      <c r="A15" t="s">
        <v>17</v>
      </c>
      <c r="B15">
        <v>91166.777076975646</v>
      </c>
      <c r="C15">
        <v>873.72087398774022</v>
      </c>
      <c r="D15">
        <v>11709.572889620011</v>
      </c>
    </row>
    <row r="16" spans="1:4" x14ac:dyDescent="0.3">
      <c r="A16" t="s">
        <v>18</v>
      </c>
      <c r="B16">
        <v>14927.8252092032</v>
      </c>
      <c r="C16">
        <v>143.06475348480001</v>
      </c>
      <c r="D16">
        <v>1917.3482158208001</v>
      </c>
    </row>
    <row r="17" spans="1:4" x14ac:dyDescent="0.3">
      <c r="A17" t="s">
        <v>19</v>
      </c>
      <c r="B17">
        <v>16783271.243608061</v>
      </c>
      <c r="C17">
        <v>16777455.939584721</v>
      </c>
      <c r="D17">
        <v>16758942.456356989</v>
      </c>
    </row>
    <row r="18" spans="1:4" x14ac:dyDescent="0.3">
      <c r="A18" t="s">
        <v>23</v>
      </c>
      <c r="B18">
        <v>16.947761267742369</v>
      </c>
      <c r="C18">
        <v>127.6520734145906</v>
      </c>
      <c r="D18">
        <v>157.67729026527829</v>
      </c>
    </row>
    <row r="19" spans="1:4" x14ac:dyDescent="0.3">
      <c r="A19" t="s">
        <v>20</v>
      </c>
      <c r="B19">
        <v>986461.89017246105</v>
      </c>
      <c r="C19">
        <v>988528.83985294215</v>
      </c>
      <c r="D19">
        <v>995109.13867972151</v>
      </c>
    </row>
    <row r="20" spans="1:4" x14ac:dyDescent="0.3">
      <c r="A20" t="s">
        <v>21</v>
      </c>
      <c r="B20">
        <v>1376966.5490722151</v>
      </c>
      <c r="C20">
        <v>1376966.5490722151</v>
      </c>
      <c r="D20">
        <v>1376966.5490722151</v>
      </c>
    </row>
    <row r="21" spans="1:4" x14ac:dyDescent="0.3">
      <c r="A21" t="s">
        <v>22</v>
      </c>
      <c r="C21">
        <v>39676.215801532177</v>
      </c>
      <c r="D21">
        <v>413117.47207225079</v>
      </c>
    </row>
    <row r="23" spans="1:4" x14ac:dyDescent="0.3">
      <c r="B23">
        <f>SUM(B2:B21)</f>
        <v>61153748.853864357</v>
      </c>
      <c r="C23">
        <f t="shared" ref="C23:D23" si="0">SUM(C2:C21)</f>
        <v>55469161.776948184</v>
      </c>
      <c r="D23">
        <f t="shared" si="0"/>
        <v>53650838.684053324</v>
      </c>
    </row>
    <row r="24" spans="1:4" x14ac:dyDescent="0.3">
      <c r="C24">
        <f>(B23-C23)/B23</f>
        <v>9.2955659848430683E-2</v>
      </c>
      <c r="D24">
        <f>(C23-D23)/C23</f>
        <v>3.2780792689939595E-2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tabSelected="1" workbookViewId="0">
      <selection activeCell="B23" sqref="B23:D24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32123702.89717523</v>
      </c>
      <c r="C2">
        <v>12849504.505968239</v>
      </c>
      <c r="D2">
        <v>6300484.3292845711</v>
      </c>
    </row>
    <row r="3" spans="1:4" x14ac:dyDescent="0.3">
      <c r="A3" t="s">
        <v>5</v>
      </c>
      <c r="B3">
        <v>74740.7450796372</v>
      </c>
      <c r="C3">
        <v>72795.760319320718</v>
      </c>
      <c r="D3">
        <v>71924.706380539748</v>
      </c>
    </row>
    <row r="4" spans="1:4" x14ac:dyDescent="0.3">
      <c r="A4" t="s">
        <v>6</v>
      </c>
      <c r="B4">
        <v>-15828776.60550211</v>
      </c>
      <c r="C4">
        <v>-15569463.11576437</v>
      </c>
      <c r="D4">
        <v>-15445258.79233974</v>
      </c>
    </row>
    <row r="5" spans="1:4" x14ac:dyDescent="0.3">
      <c r="A5" t="s">
        <v>7</v>
      </c>
      <c r="B5">
        <v>1.274387739000331E-12</v>
      </c>
      <c r="C5">
        <v>-2.7178099291208648E-10</v>
      </c>
    </row>
    <row r="6" spans="1:4" x14ac:dyDescent="0.3">
      <c r="A6" t="s">
        <v>8</v>
      </c>
      <c r="B6">
        <v>3.5848806880805612E-12</v>
      </c>
      <c r="C6">
        <v>-7.5640982518499824E-10</v>
      </c>
    </row>
    <row r="7" spans="1:4" x14ac:dyDescent="0.3">
      <c r="A7" t="s">
        <v>9</v>
      </c>
      <c r="B7">
        <v>3957380.02854686</v>
      </c>
      <c r="C7">
        <v>6224346.2978278501</v>
      </c>
      <c r="D7">
        <v>5867431.4110029917</v>
      </c>
    </row>
    <row r="8" spans="1:4" x14ac:dyDescent="0.3">
      <c r="A8" t="s">
        <v>10</v>
      </c>
      <c r="B8">
        <v>3031952.2020361298</v>
      </c>
      <c r="C8">
        <v>4768791.5559790973</v>
      </c>
      <c r="D8">
        <v>4495340.7200113758</v>
      </c>
    </row>
    <row r="9" spans="1:4" x14ac:dyDescent="0.3">
      <c r="A9" t="s">
        <v>11</v>
      </c>
      <c r="B9">
        <v>10384401.39359688</v>
      </c>
      <c r="C9">
        <v>12676828.65130836</v>
      </c>
      <c r="D9">
        <v>14804608.30387938</v>
      </c>
    </row>
    <row r="10" spans="1:4" x14ac:dyDescent="0.3">
      <c r="A10" t="s">
        <v>12</v>
      </c>
      <c r="B10">
        <v>5392497.1234982647</v>
      </c>
      <c r="C10">
        <v>6582927.5512608727</v>
      </c>
      <c r="D10">
        <v>7687858.4202662203</v>
      </c>
    </row>
    <row r="11" spans="1:4" x14ac:dyDescent="0.3">
      <c r="A11" t="s">
        <v>13</v>
      </c>
      <c r="B11">
        <v>17677897.41483267</v>
      </c>
      <c r="C11">
        <v>13888688.766982639</v>
      </c>
      <c r="D11">
        <v>11706813.41842158</v>
      </c>
    </row>
    <row r="12" spans="1:4" x14ac:dyDescent="0.3">
      <c r="A12" t="s">
        <v>14</v>
      </c>
      <c r="B12">
        <v>14173457.337430609</v>
      </c>
      <c r="C12">
        <v>12767454.08179538</v>
      </c>
      <c r="D12">
        <v>11937652.7234175</v>
      </c>
    </row>
    <row r="13" spans="1:4" x14ac:dyDescent="0.3">
      <c r="A13" t="s">
        <v>15</v>
      </c>
      <c r="B13">
        <v>416774.67753049632</v>
      </c>
      <c r="C13">
        <v>15602.391644691361</v>
      </c>
      <c r="D13">
        <v>112.2474219042544</v>
      </c>
    </row>
    <row r="14" spans="1:4" x14ac:dyDescent="0.3">
      <c r="A14" t="s">
        <v>16</v>
      </c>
      <c r="B14">
        <v>300532.31588627968</v>
      </c>
      <c r="C14">
        <v>9443.1518430550095</v>
      </c>
      <c r="D14">
        <v>71.418959820559678</v>
      </c>
    </row>
    <row r="15" spans="1:4" x14ac:dyDescent="0.3">
      <c r="A15" t="s">
        <v>17</v>
      </c>
      <c r="B15">
        <v>326784.45570779702</v>
      </c>
      <c r="C15">
        <v>224696.16770597469</v>
      </c>
      <c r="D15">
        <v>153830.55211283171</v>
      </c>
    </row>
    <row r="16" spans="1:4" x14ac:dyDescent="0.3">
      <c r="A16" t="s">
        <v>18</v>
      </c>
      <c r="B16">
        <v>53508.321696748797</v>
      </c>
      <c r="C16">
        <v>36792.1870689856</v>
      </c>
      <c r="D16">
        <v>25188.5134848704</v>
      </c>
    </row>
    <row r="17" spans="1:4" x14ac:dyDescent="0.3">
      <c r="A17" t="s">
        <v>23</v>
      </c>
      <c r="B17">
        <v>7821570.8382460019</v>
      </c>
      <c r="C17">
        <v>7862765.5553899938</v>
      </c>
      <c r="D17">
        <v>7868269.1460984461</v>
      </c>
    </row>
    <row r="18" spans="1:4" x14ac:dyDescent="0.3">
      <c r="A18" t="s">
        <v>21</v>
      </c>
      <c r="B18">
        <v>1376966.5490722151</v>
      </c>
      <c r="C18">
        <v>1376966.5490722151</v>
      </c>
      <c r="D18">
        <v>1376966.5490722151</v>
      </c>
    </row>
    <row r="19" spans="1:4" x14ac:dyDescent="0.3">
      <c r="A19" t="s">
        <v>22</v>
      </c>
      <c r="C19">
        <v>131159.66224389491</v>
      </c>
      <c r="D19">
        <v>1644927.0698633031</v>
      </c>
    </row>
    <row r="20" spans="1:4" x14ac:dyDescent="0.3">
      <c r="A20" t="s">
        <v>19</v>
      </c>
      <c r="C20">
        <v>-1.720974486502769E-10</v>
      </c>
      <c r="D20">
        <v>3.6087511944060682E-12</v>
      </c>
    </row>
    <row r="21" spans="1:4" x14ac:dyDescent="0.3">
      <c r="A21" t="s">
        <v>20</v>
      </c>
      <c r="C21">
        <v>-9.1753612125700095E-11</v>
      </c>
      <c r="D21">
        <v>1.9240027086198091E-12</v>
      </c>
    </row>
    <row r="23" spans="1:4" x14ac:dyDescent="0.3">
      <c r="B23">
        <f>SUM(B2:B21)</f>
        <v>81283389.694833711</v>
      </c>
      <c r="C23">
        <f t="shared" ref="C23:D23" si="0">SUM(C2:C21)</f>
        <v>63919299.720646195</v>
      </c>
      <c r="D23">
        <f t="shared" si="0"/>
        <v>58496220.737337805</v>
      </c>
    </row>
    <row r="24" spans="1:4" x14ac:dyDescent="0.3">
      <c r="C24">
        <f>(B23-C23)/B23</f>
        <v>0.21362408776723493</v>
      </c>
      <c r="D24">
        <f>(C23-D23)/C23</f>
        <v>8.4842590688719841E-2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24</v>
      </c>
    </row>
    <row r="2" spans="1:2" x14ac:dyDescent="0.3">
      <c r="A2" t="s">
        <v>1</v>
      </c>
      <c r="B2" t="s">
        <v>25</v>
      </c>
    </row>
    <row r="3" spans="1:2" x14ac:dyDescent="0.3">
      <c r="A3" t="s">
        <v>2</v>
      </c>
      <c r="B3">
        <v>77.585399145195041</v>
      </c>
    </row>
    <row r="4" spans="1:2" x14ac:dyDescent="0.3">
      <c r="A4" t="s">
        <v>3</v>
      </c>
      <c r="B4">
        <v>51.369079424544218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24</v>
      </c>
    </row>
    <row r="2" spans="1:2" x14ac:dyDescent="0.3">
      <c r="A2" t="s">
        <v>1</v>
      </c>
      <c r="B2">
        <v>694.7756872325416</v>
      </c>
    </row>
    <row r="3" spans="1:2" x14ac:dyDescent="0.3">
      <c r="A3" t="s">
        <v>2</v>
      </c>
      <c r="B3">
        <v>181.04766255444051</v>
      </c>
    </row>
    <row r="4" spans="1:2" x14ac:dyDescent="0.3">
      <c r="A4" t="s">
        <v>3</v>
      </c>
      <c r="B4">
        <v>141.34889625614559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24</v>
      </c>
    </row>
    <row r="2" spans="1:2" x14ac:dyDescent="0.3">
      <c r="A2" t="s">
        <v>1</v>
      </c>
      <c r="B2">
        <v>51.520915077512967</v>
      </c>
    </row>
    <row r="3" spans="1:2" x14ac:dyDescent="0.3">
      <c r="A3" t="s">
        <v>2</v>
      </c>
      <c r="B3">
        <v>14.443635873493371</v>
      </c>
    </row>
    <row r="4" spans="1:2" x14ac:dyDescent="0.3">
      <c r="A4" t="s">
        <v>3</v>
      </c>
      <c r="B4">
        <v>2.8479489194443079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24</v>
      </c>
    </row>
    <row r="2" spans="1:2" x14ac:dyDescent="0.3">
      <c r="A2" t="s">
        <v>1</v>
      </c>
      <c r="B2">
        <v>125.434276759695</v>
      </c>
    </row>
    <row r="3" spans="1:2" x14ac:dyDescent="0.3">
      <c r="A3" t="s">
        <v>2</v>
      </c>
      <c r="B3">
        <v>58.216587068975002</v>
      </c>
    </row>
    <row r="4" spans="1:2" x14ac:dyDescent="0.3">
      <c r="A4" t="s">
        <v>3</v>
      </c>
      <c r="B4">
        <v>43.442652301987259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24</v>
      </c>
    </row>
    <row r="2" spans="1:2" x14ac:dyDescent="0.3">
      <c r="A2" t="s">
        <v>1</v>
      </c>
      <c r="B2">
        <v>8.8735208166077602</v>
      </c>
    </row>
    <row r="3" spans="1:2" x14ac:dyDescent="0.3">
      <c r="A3" t="s">
        <v>2</v>
      </c>
      <c r="B3">
        <v>-19.400363075897911</v>
      </c>
    </row>
    <row r="4" spans="1:2" x14ac:dyDescent="0.3">
      <c r="A4" t="s">
        <v>3</v>
      </c>
      <c r="B4">
        <v>-26.837992132614101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24</v>
      </c>
    </row>
    <row r="2" spans="1:2" x14ac:dyDescent="0.3">
      <c r="A2" t="s">
        <v>1</v>
      </c>
      <c r="B2">
        <v>46.252447189585489</v>
      </c>
    </row>
    <row r="3" spans="1:2" x14ac:dyDescent="0.3">
      <c r="A3" t="s">
        <v>2</v>
      </c>
      <c r="B3">
        <v>7.4092677268833684</v>
      </c>
    </row>
    <row r="4" spans="1:2" x14ac:dyDescent="0.3">
      <c r="A4" t="s">
        <v>3</v>
      </c>
      <c r="B4">
        <v>-1.746324843899369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2030_ED25_CB</vt:lpstr>
      <vt:lpstr>2030_ED100_CB</vt:lpstr>
      <vt:lpstr>2040_ED25_CB</vt:lpstr>
      <vt:lpstr>2040_ED100_CB</vt:lpstr>
      <vt:lpstr>2050_ED25_CB</vt:lpstr>
      <vt:lpstr>2050_ED100_CB</vt:lpstr>
      <vt:lpstr>2030_ED25_LCCE</vt:lpstr>
      <vt:lpstr>2030_ED100_LCCE</vt:lpstr>
      <vt:lpstr>2040_ED25_LCCE</vt:lpstr>
      <vt:lpstr>2040_ED100_LCCE</vt:lpstr>
      <vt:lpstr>2050_ED25_LCCE</vt:lpstr>
      <vt:lpstr>2050_ED100_LCCE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2025-10-17T09:45:04Z</dcterms:created>
  <dcterms:modified xsi:type="dcterms:W3CDTF">2025-10-19T03:21:15Z</dcterms:modified>
</cp:coreProperties>
</file>