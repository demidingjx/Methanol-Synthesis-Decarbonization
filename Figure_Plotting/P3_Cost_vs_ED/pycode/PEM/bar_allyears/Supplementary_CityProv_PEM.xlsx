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F:\2025_Methanol_synthesis\3_GAMS\P2_Cost_vs_ED\pycode\PEM\bar_allyears\"/>
    </mc:Choice>
  </mc:AlternateContent>
  <xr:revisionPtr revIDLastSave="0" documentId="8_{C7AC6F74-29F4-4095-BB2A-DA1BD30ADD73}" xr6:coauthVersionLast="47" xr6:coauthVersionMax="47" xr10:uidLastSave="{00000000-0000-0000-0000-000000000000}"/>
  <bookViews>
    <workbookView xWindow="5115" yWindow="930" windowWidth="9165" windowHeight="10260" tabRatio="714" firstSheet="5" activeTab="5" xr2:uid="{00000000-000D-0000-FFFF-FFFF00000000}"/>
  </bookViews>
  <sheets>
    <sheet name="2030_ED25_CB" sheetId="1" r:id="rId1"/>
    <sheet name="2030_ED100_CB" sheetId="2" r:id="rId2"/>
    <sheet name="2040_ED25_CB" sheetId="3" r:id="rId3"/>
    <sheet name="2040_ED100_CB" sheetId="4" r:id="rId4"/>
    <sheet name="2050_ED25_CB" sheetId="5" r:id="rId5"/>
    <sheet name="2050_ED100_CB" sheetId="6" r:id="rId6"/>
    <sheet name="2030_ED25_LCCE" sheetId="7" r:id="rId7"/>
    <sheet name="2030_ED100_LCCE" sheetId="8" r:id="rId8"/>
    <sheet name="2040_ED25_LCCE" sheetId="9" r:id="rId9"/>
    <sheet name="2040_ED100_LCCE" sheetId="10" r:id="rId10"/>
    <sheet name="2050_ED25_LCCE" sheetId="11" r:id="rId11"/>
    <sheet name="2050_ED100_LCC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6" l="1"/>
  <c r="K18" i="6"/>
  <c r="J18" i="6"/>
  <c r="J17" i="6"/>
  <c r="F6" i="6"/>
  <c r="F6" i="2"/>
  <c r="F5" i="1"/>
</calcChain>
</file>

<file path=xl/sharedStrings.xml><?xml version="1.0" encoding="utf-8"?>
<sst xmlns="http://schemas.openxmlformats.org/spreadsheetml/2006/main" count="194" uniqueCount="32">
  <si>
    <t>Type</t>
  </si>
  <si>
    <t>City</t>
  </si>
  <si>
    <t>Prov</t>
  </si>
  <si>
    <t>State</t>
  </si>
  <si>
    <t>CO2c</t>
  </si>
  <si>
    <t>CO2e</t>
  </si>
  <si>
    <t>Coal</t>
  </si>
  <si>
    <t>Grid</t>
  </si>
  <si>
    <t>H2O</t>
  </si>
  <si>
    <t>HST_CAP</t>
  </si>
  <si>
    <t>HST_OM</t>
  </si>
  <si>
    <t>Lib_CAP</t>
  </si>
  <si>
    <t>Lib_OM</t>
  </si>
  <si>
    <t>O2</t>
  </si>
  <si>
    <t>OM_Msyn</t>
  </si>
  <si>
    <t>OM_coal</t>
  </si>
  <si>
    <t>PEM_CAP</t>
  </si>
  <si>
    <t>PEM_OM</t>
  </si>
  <si>
    <t>PV_CAP</t>
  </si>
  <si>
    <t>PV_OM</t>
  </si>
  <si>
    <t>RWS_CAP</t>
  </si>
  <si>
    <t>RWS_OM</t>
  </si>
  <si>
    <t>TNS</t>
  </si>
  <si>
    <t>WT_CAP</t>
  </si>
  <si>
    <t>WT_OM</t>
  </si>
  <si>
    <t>CO2p</t>
  </si>
  <si>
    <t>Value</t>
  </si>
  <si>
    <t>SOEC</t>
    <phoneticPr fontId="2" type="noConversion"/>
  </si>
  <si>
    <t>PEME</t>
    <phoneticPr fontId="2" type="noConversion"/>
  </si>
  <si>
    <t>City</t>
    <phoneticPr fontId="2" type="noConversion"/>
  </si>
  <si>
    <t>State</t>
    <phoneticPr fontId="2" type="noConversion"/>
  </si>
  <si>
    <t>Difference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</si>
</sst>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opLeftCell="A3" workbookViewId="0">
      <selection activeCell="F5" sqref="F5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4</v>
      </c>
      <c r="B2">
        <v>1129709.644698208</v>
      </c>
      <c r="C2">
        <v>1129711.9582356671</v>
      </c>
      <c r="D2">
        <v>1129698.2207888011</v>
      </c>
    </row>
    <row r="3" spans="1:6" x14ac:dyDescent="0.3">
      <c r="A3" t="s">
        <v>5</v>
      </c>
      <c r="B3">
        <v>12744186.067532619</v>
      </c>
      <c r="C3">
        <v>12744182.144158689</v>
      </c>
      <c r="D3">
        <v>12744205.440579049</v>
      </c>
    </row>
    <row r="4" spans="1:6" x14ac:dyDescent="0.3">
      <c r="A4" t="s">
        <v>6</v>
      </c>
      <c r="B4">
        <v>13179801.50432473</v>
      </c>
      <c r="C4">
        <v>13179801.504324719</v>
      </c>
      <c r="D4">
        <v>13179801.504324749</v>
      </c>
    </row>
    <row r="5" spans="1:6" x14ac:dyDescent="0.3">
      <c r="A5" t="s">
        <v>7</v>
      </c>
      <c r="B5">
        <v>6208669.7752716243</v>
      </c>
      <c r="C5">
        <v>2956122.72985001</v>
      </c>
      <c r="D5">
        <v>1143700.1172690601</v>
      </c>
      <c r="F5">
        <f>(B5-D5)/1000000</f>
        <v>5.0649696580025649</v>
      </c>
    </row>
    <row r="6" spans="1:6" x14ac:dyDescent="0.3">
      <c r="A6" t="s">
        <v>8</v>
      </c>
      <c r="B6">
        <v>16640.180345700359</v>
      </c>
      <c r="C6">
        <v>16591.696931567902</v>
      </c>
      <c r="D6">
        <v>16557.617804804191</v>
      </c>
    </row>
    <row r="7" spans="1:6" x14ac:dyDescent="0.3">
      <c r="A7" t="s">
        <v>9</v>
      </c>
      <c r="B7">
        <v>76069.42917483965</v>
      </c>
      <c r="C7">
        <v>47249.067646774121</v>
      </c>
      <c r="D7">
        <v>31237.755686737699</v>
      </c>
    </row>
    <row r="8" spans="1:6" x14ac:dyDescent="0.3">
      <c r="A8" t="s">
        <v>10</v>
      </c>
      <c r="B8">
        <v>10636.30580724</v>
      </c>
      <c r="C8">
        <v>6606.5374494000007</v>
      </c>
      <c r="D8">
        <v>4367.777250600001</v>
      </c>
    </row>
    <row r="9" spans="1:6" x14ac:dyDescent="0.3">
      <c r="A9" t="s">
        <v>11</v>
      </c>
      <c r="B9">
        <v>6831.2107506027924</v>
      </c>
      <c r="C9">
        <v>220.3616371162191</v>
      </c>
    </row>
    <row r="10" spans="1:6" x14ac:dyDescent="0.3">
      <c r="A10" t="s">
        <v>12</v>
      </c>
      <c r="B10">
        <v>2940.450844384171</v>
      </c>
      <c r="C10">
        <v>83.492213792401671</v>
      </c>
    </row>
    <row r="11" spans="1:6" x14ac:dyDescent="0.3">
      <c r="A11" t="s">
        <v>13</v>
      </c>
      <c r="B11">
        <v>-3312438.4625429232</v>
      </c>
      <c r="C11">
        <v>-3304117.844352446</v>
      </c>
      <c r="D11">
        <v>-3297709.392894059</v>
      </c>
    </row>
    <row r="12" spans="1:6" x14ac:dyDescent="0.3">
      <c r="A12" t="s">
        <v>14</v>
      </c>
      <c r="B12">
        <v>1107348.2520993131</v>
      </c>
      <c r="C12">
        <v>1107348.2520993131</v>
      </c>
      <c r="D12">
        <v>1107348.2520993131</v>
      </c>
    </row>
    <row r="13" spans="1:6" x14ac:dyDescent="0.3">
      <c r="A13" t="s">
        <v>15</v>
      </c>
      <c r="B13">
        <v>6155422.0490162652</v>
      </c>
      <c r="C13">
        <v>6155422.0490162605</v>
      </c>
      <c r="D13">
        <v>6159554.207467597</v>
      </c>
    </row>
    <row r="14" spans="1:6" x14ac:dyDescent="0.3">
      <c r="A14" t="s">
        <v>16</v>
      </c>
      <c r="B14">
        <v>6278485.8318256363</v>
      </c>
      <c r="C14">
        <v>5488503.7739147209</v>
      </c>
      <c r="D14">
        <v>4907344.9033817556</v>
      </c>
    </row>
    <row r="15" spans="1:6" x14ac:dyDescent="0.3">
      <c r="A15" t="s">
        <v>17</v>
      </c>
      <c r="B15">
        <v>4008683.4405759922</v>
      </c>
      <c r="C15">
        <v>3696701.2229829589</v>
      </c>
      <c r="D15">
        <v>3469477.4054404069</v>
      </c>
    </row>
    <row r="16" spans="1:6" x14ac:dyDescent="0.3">
      <c r="A16" t="s">
        <v>18</v>
      </c>
      <c r="B16">
        <v>1692553.647207093</v>
      </c>
      <c r="C16">
        <v>951541.4858512528</v>
      </c>
      <c r="D16">
        <v>63671.057769827174</v>
      </c>
    </row>
    <row r="17" spans="1:4" x14ac:dyDescent="0.3">
      <c r="A17" t="s">
        <v>19</v>
      </c>
      <c r="B17">
        <v>942722.74897318671</v>
      </c>
      <c r="C17">
        <v>529991.94842889719</v>
      </c>
      <c r="D17">
        <v>35463.664451551507</v>
      </c>
    </row>
    <row r="18" spans="1:4" x14ac:dyDescent="0.3">
      <c r="A18" t="s">
        <v>20</v>
      </c>
      <c r="B18">
        <v>214115.4823181195</v>
      </c>
      <c r="C18">
        <v>214475.51647340681</v>
      </c>
      <c r="D18">
        <v>212337.6863463796</v>
      </c>
    </row>
    <row r="19" spans="1:4" x14ac:dyDescent="0.3">
      <c r="A19" t="s">
        <v>21</v>
      </c>
      <c r="B19">
        <v>207418.91018310259</v>
      </c>
      <c r="C19">
        <v>207554.63652965851</v>
      </c>
      <c r="D19">
        <v>206748.71334587861</v>
      </c>
    </row>
    <row r="20" spans="1:4" x14ac:dyDescent="0.3">
      <c r="A20" t="s">
        <v>22</v>
      </c>
      <c r="C20">
        <v>30271.54148586739</v>
      </c>
      <c r="D20">
        <v>478759.95553481032</v>
      </c>
    </row>
    <row r="21" spans="1:4" x14ac:dyDescent="0.3">
      <c r="A21" t="s">
        <v>23</v>
      </c>
      <c r="B21">
        <v>4562312.6783086332</v>
      </c>
      <c r="C21">
        <v>6739921.7498561852</v>
      </c>
      <c r="D21">
        <v>7052643.0184181016</v>
      </c>
    </row>
    <row r="22" spans="1:4" x14ac:dyDescent="0.3">
      <c r="A22" t="s">
        <v>24</v>
      </c>
      <c r="B22">
        <v>1897702.514291825</v>
      </c>
      <c r="C22">
        <v>2803483.091293504</v>
      </c>
      <c r="D22">
        <v>2933560.089401071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F6" sqref="F6"/>
    </sheetView>
  </sheetViews>
  <sheetFormatPr defaultRowHeight="13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3">
      <c r="A2" t="s">
        <v>4</v>
      </c>
      <c r="C2">
        <v>-2.6873890730030312E-9</v>
      </c>
      <c r="D2">
        <v>-2.5633806186306181E-7</v>
      </c>
    </row>
    <row r="3" spans="1:6" x14ac:dyDescent="0.3">
      <c r="A3" t="s">
        <v>5</v>
      </c>
      <c r="C3">
        <v>-3.0382426464228728E-9</v>
      </c>
      <c r="D3">
        <v>-2.8980441993962821E-7</v>
      </c>
    </row>
    <row r="4" spans="1:6" x14ac:dyDescent="0.3">
      <c r="A4" t="s">
        <v>25</v>
      </c>
      <c r="B4">
        <v>8849371.3897338454</v>
      </c>
      <c r="C4">
        <v>8849358.2628310267</v>
      </c>
      <c r="D4">
        <v>8849182.4208871555</v>
      </c>
    </row>
    <row r="5" spans="1:6" x14ac:dyDescent="0.3">
      <c r="A5" t="s">
        <v>6</v>
      </c>
      <c r="B5">
        <v>2.129334292327871E-12</v>
      </c>
      <c r="C5">
        <v>-6.8427044706577933E-9</v>
      </c>
      <c r="D5">
        <v>-6.513835886988729E-7</v>
      </c>
    </row>
    <row r="6" spans="1:6" x14ac:dyDescent="0.3">
      <c r="A6" t="s">
        <v>7</v>
      </c>
      <c r="B6">
        <v>25504028.877746649</v>
      </c>
      <c r="C6">
        <v>13778322.687891411</v>
      </c>
      <c r="D6">
        <v>10373622.29915043</v>
      </c>
      <c r="F6">
        <f>(B6-D6)/1000000</f>
        <v>15.130406578596219</v>
      </c>
    </row>
    <row r="7" spans="1:6" x14ac:dyDescent="0.3">
      <c r="A7" t="s">
        <v>8</v>
      </c>
      <c r="B7">
        <v>66567.019790004953</v>
      </c>
      <c r="C7">
        <v>66408.827721840556</v>
      </c>
      <c r="D7">
        <v>66309.742516188606</v>
      </c>
    </row>
    <row r="8" spans="1:6" x14ac:dyDescent="0.3">
      <c r="A8" t="s">
        <v>9</v>
      </c>
      <c r="B8">
        <v>306349.76883536339</v>
      </c>
      <c r="C8">
        <v>264280.831528601</v>
      </c>
      <c r="D8">
        <v>154995.77871901909</v>
      </c>
    </row>
    <row r="9" spans="1:6" x14ac:dyDescent="0.3">
      <c r="A9" t="s">
        <v>10</v>
      </c>
      <c r="B9">
        <v>42834.945137039991</v>
      </c>
      <c r="C9">
        <v>36952.712457840018</v>
      </c>
      <c r="D9">
        <v>21672.07666956</v>
      </c>
    </row>
    <row r="10" spans="1:6" x14ac:dyDescent="0.3">
      <c r="A10" t="s">
        <v>11</v>
      </c>
      <c r="B10">
        <v>5509.0409279054784</v>
      </c>
    </row>
    <row r="11" spans="1:6" x14ac:dyDescent="0.3">
      <c r="A11" t="s">
        <v>12</v>
      </c>
      <c r="B11">
        <v>2368.5640131257292</v>
      </c>
    </row>
    <row r="12" spans="1:6" x14ac:dyDescent="0.3">
      <c r="A12" t="s">
        <v>13</v>
      </c>
      <c r="B12">
        <v>-13250618.61271739</v>
      </c>
      <c r="C12">
        <v>-13224032.970351649</v>
      </c>
      <c r="D12">
        <v>-13205124.01288492</v>
      </c>
    </row>
    <row r="13" spans="1:6" x14ac:dyDescent="0.3">
      <c r="A13" t="s">
        <v>14</v>
      </c>
      <c r="B13">
        <v>1107348.2520993131</v>
      </c>
      <c r="C13">
        <v>1107348.2520993131</v>
      </c>
      <c r="D13">
        <v>1107348.2520993131</v>
      </c>
    </row>
    <row r="14" spans="1:6" x14ac:dyDescent="0.3">
      <c r="A14" t="s">
        <v>15</v>
      </c>
      <c r="B14">
        <v>1.020904368000942E-12</v>
      </c>
      <c r="C14">
        <v>-3.1430652462618779E-9</v>
      </c>
      <c r="D14">
        <v>-3.115791286020941E-7</v>
      </c>
    </row>
    <row r="15" spans="1:6" x14ac:dyDescent="0.3">
      <c r="A15" t="s">
        <v>16</v>
      </c>
      <c r="B15">
        <v>25050902.365075242</v>
      </c>
      <c r="C15">
        <v>22438642.492781289</v>
      </c>
      <c r="D15">
        <v>20634094.949024688</v>
      </c>
    </row>
    <row r="16" spans="1:6" x14ac:dyDescent="0.3">
      <c r="A16" t="s">
        <v>17</v>
      </c>
      <c r="B16">
        <v>16010613.836376829</v>
      </c>
      <c r="C16">
        <v>14976261.42600695</v>
      </c>
      <c r="D16">
        <v>14270803.404488049</v>
      </c>
    </row>
    <row r="17" spans="1:4" x14ac:dyDescent="0.3">
      <c r="A17" t="s">
        <v>18</v>
      </c>
      <c r="B17">
        <v>6851083.6546894927</v>
      </c>
      <c r="C17">
        <v>4878253.6164115518</v>
      </c>
      <c r="D17">
        <v>3677105.9727228298</v>
      </c>
    </row>
    <row r="18" spans="1:4" x14ac:dyDescent="0.3">
      <c r="A18" t="s">
        <v>19</v>
      </c>
      <c r="B18">
        <v>3815933.6497556171</v>
      </c>
      <c r="C18">
        <v>2717101.857917767</v>
      </c>
      <c r="D18">
        <v>2048083.649573588</v>
      </c>
    </row>
    <row r="19" spans="1:4" x14ac:dyDescent="0.3">
      <c r="A19" t="s">
        <v>20</v>
      </c>
      <c r="B19">
        <v>854806.88847791031</v>
      </c>
      <c r="C19">
        <v>853763.7479426983</v>
      </c>
      <c r="D19">
        <v>839790.31775255792</v>
      </c>
    </row>
    <row r="20" spans="1:4" x14ac:dyDescent="0.3">
      <c r="A20" t="s">
        <v>21</v>
      </c>
      <c r="B20">
        <v>829051.72037055506</v>
      </c>
      <c r="C20">
        <v>828658.47530836007</v>
      </c>
      <c r="D20">
        <v>823390.74556466402</v>
      </c>
    </row>
    <row r="21" spans="1:4" x14ac:dyDescent="0.3">
      <c r="A21" t="s">
        <v>22</v>
      </c>
      <c r="C21">
        <v>137171.8461306942</v>
      </c>
      <c r="D21">
        <v>1694218.5230217171</v>
      </c>
    </row>
    <row r="22" spans="1:4" x14ac:dyDescent="0.3">
      <c r="A22" t="s">
        <v>23</v>
      </c>
      <c r="B22">
        <v>17783940.400454</v>
      </c>
      <c r="C22">
        <v>24664920.921750519</v>
      </c>
      <c r="D22">
        <v>26147775.011507969</v>
      </c>
    </row>
    <row r="23" spans="1:4" x14ac:dyDescent="0.3">
      <c r="A23" t="s">
        <v>24</v>
      </c>
      <c r="B23">
        <v>7397263.3599652806</v>
      </c>
      <c r="C23">
        <v>10259420.111768279</v>
      </c>
      <c r="D23">
        <v>10876216.051213579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3"/>
  <sheetViews>
    <sheetView workbookViewId="0">
      <selection activeCell="F6" sqref="F6"/>
    </sheetView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985149.01832709531</v>
      </c>
      <c r="C2">
        <v>983798.67374008591</v>
      </c>
      <c r="D2">
        <v>983822.25126521918</v>
      </c>
    </row>
    <row r="3" spans="1:4" x14ac:dyDescent="0.3">
      <c r="A3" t="s">
        <v>5</v>
      </c>
      <c r="B3">
        <v>15026874.40001433</v>
      </c>
      <c r="C3">
        <v>15029975.66987925</v>
      </c>
      <c r="D3">
        <v>15029921.520539209</v>
      </c>
    </row>
    <row r="4" spans="1:4" x14ac:dyDescent="0.3">
      <c r="A4" t="s">
        <v>25</v>
      </c>
      <c r="C4">
        <v>56.869328050086217</v>
      </c>
    </row>
    <row r="5" spans="1:4" x14ac:dyDescent="0.3">
      <c r="A5" t="s">
        <v>6</v>
      </c>
      <c r="B5">
        <v>15295697.71073609</v>
      </c>
      <c r="C5">
        <v>15295697.71073607</v>
      </c>
      <c r="D5">
        <v>15295697.71073607</v>
      </c>
    </row>
    <row r="6" spans="1:4" x14ac:dyDescent="0.3">
      <c r="A6" t="s">
        <v>7</v>
      </c>
      <c r="B6">
        <v>3542952.4245444662</v>
      </c>
      <c r="C6">
        <v>1353491.782440437</v>
      </c>
      <c r="D6">
        <v>333930.0214688321</v>
      </c>
    </row>
    <row r="7" spans="1:4" x14ac:dyDescent="0.3">
      <c r="A7" t="s">
        <v>8</v>
      </c>
      <c r="B7">
        <v>16641.251494978798</v>
      </c>
      <c r="C7">
        <v>16601.080458974469</v>
      </c>
      <c r="D7">
        <v>16580.824275786061</v>
      </c>
    </row>
    <row r="8" spans="1:4" x14ac:dyDescent="0.3">
      <c r="A8" t="s">
        <v>9</v>
      </c>
      <c r="B8">
        <v>59644.312500904591</v>
      </c>
      <c r="C8">
        <v>26049.624337172521</v>
      </c>
      <c r="D8">
        <v>17205.410447761649</v>
      </c>
    </row>
    <row r="9" spans="1:4" x14ac:dyDescent="0.3">
      <c r="A9" t="s">
        <v>10</v>
      </c>
      <c r="B9">
        <v>15719.608376280001</v>
      </c>
      <c r="C9">
        <v>6865.53127632</v>
      </c>
      <c r="D9">
        <v>4534.5868340400011</v>
      </c>
    </row>
    <row r="10" spans="1:4" x14ac:dyDescent="0.3">
      <c r="A10" t="s">
        <v>11</v>
      </c>
      <c r="B10">
        <v>51382.568769328667</v>
      </c>
      <c r="C10">
        <v>1241.874773881055</v>
      </c>
    </row>
    <row r="11" spans="1:4" x14ac:dyDescent="0.3">
      <c r="A11" t="s">
        <v>12</v>
      </c>
      <c r="B11">
        <v>27340.403608268029</v>
      </c>
      <c r="C11">
        <v>658.91448274101526</v>
      </c>
    </row>
    <row r="12" spans="1:4" x14ac:dyDescent="0.3">
      <c r="A12" t="s">
        <v>13</v>
      </c>
      <c r="B12">
        <v>-3320339.7807690082</v>
      </c>
      <c r="C12">
        <v>-3306434.6452149181</v>
      </c>
      <c r="D12">
        <v>-3301957.4754753839</v>
      </c>
    </row>
    <row r="13" spans="1:4" x14ac:dyDescent="0.3">
      <c r="A13" t="s">
        <v>14</v>
      </c>
      <c r="B13">
        <v>1227227.5564737611</v>
      </c>
      <c r="C13">
        <v>1227227.5564737611</v>
      </c>
      <c r="D13">
        <v>1227227.5564737611</v>
      </c>
    </row>
    <row r="14" spans="1:4" x14ac:dyDescent="0.3">
      <c r="A14" t="s">
        <v>15</v>
      </c>
      <c r="B14">
        <v>6245331.5272971028</v>
      </c>
      <c r="C14">
        <v>6245331.5272970963</v>
      </c>
      <c r="D14">
        <v>6250444.1510172039</v>
      </c>
    </row>
    <row r="15" spans="1:4" x14ac:dyDescent="0.3">
      <c r="A15" t="s">
        <v>16</v>
      </c>
      <c r="B15">
        <v>3569823.4178395839</v>
      </c>
      <c r="C15">
        <v>2691791.6386416839</v>
      </c>
      <c r="D15">
        <v>2339320.0769269099</v>
      </c>
    </row>
    <row r="16" spans="1:4" x14ac:dyDescent="0.3">
      <c r="A16" t="s">
        <v>17</v>
      </c>
      <c r="B16">
        <v>3283153.1303296001</v>
      </c>
      <c r="C16">
        <v>2748278.0042448579</v>
      </c>
      <c r="D16">
        <v>2533450.1379392641</v>
      </c>
    </row>
    <row r="17" spans="1:4" x14ac:dyDescent="0.3">
      <c r="A17" t="s">
        <v>18</v>
      </c>
      <c r="B17">
        <v>1208828.1788343261</v>
      </c>
      <c r="C17">
        <v>679486.78512195207</v>
      </c>
      <c r="D17">
        <v>107473.3992970362</v>
      </c>
    </row>
    <row r="18" spans="1:4" x14ac:dyDescent="0.3">
      <c r="A18" t="s">
        <v>19</v>
      </c>
      <c r="B18">
        <v>805084.0424089263</v>
      </c>
      <c r="C18">
        <v>452540.7144768429</v>
      </c>
      <c r="D18">
        <v>71577.681818207464</v>
      </c>
    </row>
    <row r="19" spans="1:4" x14ac:dyDescent="0.3">
      <c r="A19" t="s">
        <v>20</v>
      </c>
      <c r="B19">
        <v>174668.1362497712</v>
      </c>
      <c r="C19">
        <v>176647.36351308631</v>
      </c>
      <c r="D19">
        <v>176001.28671462211</v>
      </c>
    </row>
    <row r="20" spans="1:4" x14ac:dyDescent="0.3">
      <c r="A20" t="s">
        <v>21</v>
      </c>
      <c r="B20">
        <v>189054.67085796039</v>
      </c>
      <c r="C20">
        <v>189898.49821795541</v>
      </c>
      <c r="D20">
        <v>189623.04865776311</v>
      </c>
    </row>
    <row r="21" spans="1:4" x14ac:dyDescent="0.3">
      <c r="A21" t="s">
        <v>22</v>
      </c>
      <c r="C21">
        <v>30291.659243617589</v>
      </c>
      <c r="D21">
        <v>371243.2256655239</v>
      </c>
    </row>
    <row r="22" spans="1:4" x14ac:dyDescent="0.3">
      <c r="A22" t="s">
        <v>23</v>
      </c>
      <c r="B22">
        <v>4174421.5879091918</v>
      </c>
      <c r="C22">
        <v>5418208.2716121366</v>
      </c>
      <c r="D22">
        <v>5313367.870877726</v>
      </c>
    </row>
    <row r="23" spans="1:4" x14ac:dyDescent="0.3">
      <c r="A23" t="s">
        <v>24</v>
      </c>
      <c r="B23">
        <v>1956776.5972975111</v>
      </c>
      <c r="C23">
        <v>2539806.5149631109</v>
      </c>
      <c r="D23">
        <v>2490662.1632755431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"/>
  <sheetViews>
    <sheetView workbookViewId="0"/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2.6517343030718609E-12</v>
      </c>
      <c r="C2">
        <v>3.8067392040282738E-9</v>
      </c>
      <c r="D2">
        <v>-5.2087638096054429E-12</v>
      </c>
    </row>
    <row r="3" spans="1:4" x14ac:dyDescent="0.3">
      <c r="A3" t="s">
        <v>5</v>
      </c>
      <c r="B3">
        <v>4.0600716602057223E-12</v>
      </c>
      <c r="C3">
        <v>5.8285002166940118E-9</v>
      </c>
      <c r="D3">
        <v>-7.9751407611183825E-12</v>
      </c>
    </row>
    <row r="4" spans="1:4" x14ac:dyDescent="0.3">
      <c r="A4" t="s">
        <v>25</v>
      </c>
      <c r="B4">
        <v>7964692.4017285313</v>
      </c>
      <c r="C4">
        <v>7964638.4764179625</v>
      </c>
      <c r="D4">
        <v>7964409.7194110649</v>
      </c>
    </row>
    <row r="5" spans="1:4" x14ac:dyDescent="0.3">
      <c r="A5" t="s">
        <v>6</v>
      </c>
      <c r="C5">
        <v>1.3665621950660519E-8</v>
      </c>
      <c r="D5">
        <v>-5.3727558271960947E-10</v>
      </c>
    </row>
    <row r="6" spans="1:4" x14ac:dyDescent="0.3">
      <c r="A6" t="s">
        <v>7</v>
      </c>
      <c r="B6">
        <v>16165650.92334608</v>
      </c>
      <c r="C6">
        <v>7537078.4254722819</v>
      </c>
      <c r="D6">
        <v>5538976.5222235871</v>
      </c>
    </row>
    <row r="7" spans="1:4" x14ac:dyDescent="0.3">
      <c r="A7" t="s">
        <v>8</v>
      </c>
      <c r="B7">
        <v>66615.502578416854</v>
      </c>
      <c r="C7">
        <v>66397.521137975389</v>
      </c>
      <c r="D7">
        <v>66310.630010772147</v>
      </c>
    </row>
    <row r="8" spans="1:4" x14ac:dyDescent="0.3">
      <c r="A8" t="s">
        <v>9</v>
      </c>
      <c r="B8">
        <v>176467.88353730371</v>
      </c>
      <c r="C8">
        <v>140541.38756845379</v>
      </c>
      <c r="D8">
        <v>77799.101840749921</v>
      </c>
    </row>
    <row r="9" spans="1:4" x14ac:dyDescent="0.3">
      <c r="A9" t="s">
        <v>10</v>
      </c>
      <c r="B9">
        <v>46509.145698600019</v>
      </c>
      <c r="C9">
        <v>37040.506975440003</v>
      </c>
      <c r="D9">
        <v>20504.40958548</v>
      </c>
    </row>
    <row r="10" spans="1:4" x14ac:dyDescent="0.3">
      <c r="A10" t="s">
        <v>11</v>
      </c>
      <c r="B10">
        <v>46104.600980334173</v>
      </c>
      <c r="C10">
        <v>14902.49728657266</v>
      </c>
    </row>
    <row r="11" spans="1:4" x14ac:dyDescent="0.3">
      <c r="A11" t="s">
        <v>12</v>
      </c>
      <c r="B11">
        <v>23886.942203199669</v>
      </c>
      <c r="C11">
        <v>7748.0927967613206</v>
      </c>
    </row>
    <row r="12" spans="1:4" x14ac:dyDescent="0.3">
      <c r="A12" t="s">
        <v>13</v>
      </c>
      <c r="B12">
        <v>-13265667.40049853</v>
      </c>
      <c r="C12">
        <v>-13225219.44892302</v>
      </c>
      <c r="D12">
        <v>-13207289.03494023</v>
      </c>
    </row>
    <row r="13" spans="1:4" x14ac:dyDescent="0.3">
      <c r="A13" t="s">
        <v>14</v>
      </c>
      <c r="B13">
        <v>1227227.5564737611</v>
      </c>
      <c r="C13">
        <v>1227227.5564737611</v>
      </c>
      <c r="D13">
        <v>1227227.5564737611</v>
      </c>
    </row>
    <row r="14" spans="1:4" x14ac:dyDescent="0.3">
      <c r="A14" t="s">
        <v>15</v>
      </c>
      <c r="C14">
        <v>5.6072911553069852E-9</v>
      </c>
      <c r="D14">
        <v>-2.2240123138571191E-10</v>
      </c>
    </row>
    <row r="15" spans="1:4" x14ac:dyDescent="0.3">
      <c r="A15" t="s">
        <v>16</v>
      </c>
      <c r="B15">
        <v>13130614.082015309</v>
      </c>
      <c r="C15">
        <v>10967529.777699931</v>
      </c>
      <c r="D15">
        <v>9742271.5490673594</v>
      </c>
    </row>
    <row r="16" spans="1:4" x14ac:dyDescent="0.3">
      <c r="A16" t="s">
        <v>17</v>
      </c>
      <c r="B16">
        <v>12442272.72933287</v>
      </c>
      <c r="C16">
        <v>11114369.38133795</v>
      </c>
      <c r="D16">
        <v>10365138.849029601</v>
      </c>
    </row>
    <row r="17" spans="1:4" x14ac:dyDescent="0.3">
      <c r="A17" t="s">
        <v>18</v>
      </c>
      <c r="B17">
        <v>4340325.3789843787</v>
      </c>
      <c r="C17">
        <v>3316096.40744793</v>
      </c>
      <c r="D17">
        <v>2642818.1786926868</v>
      </c>
    </row>
    <row r="18" spans="1:4" x14ac:dyDescent="0.3">
      <c r="A18" t="s">
        <v>19</v>
      </c>
      <c r="B18">
        <v>2890672.7710900842</v>
      </c>
      <c r="C18">
        <v>2208532.4841619162</v>
      </c>
      <c r="D18">
        <v>1760126.691210523</v>
      </c>
    </row>
    <row r="19" spans="1:4" x14ac:dyDescent="0.3">
      <c r="A19" t="s">
        <v>20</v>
      </c>
      <c r="B19">
        <v>701796.65079667931</v>
      </c>
      <c r="C19">
        <v>697989.10477757314</v>
      </c>
      <c r="D19">
        <v>681837.08224822837</v>
      </c>
    </row>
    <row r="20" spans="1:4" x14ac:dyDescent="0.3">
      <c r="A20" t="s">
        <v>21</v>
      </c>
      <c r="B20">
        <v>757550.6203934995</v>
      </c>
      <c r="C20">
        <v>755927.30428174429</v>
      </c>
      <c r="D20">
        <v>749041.02154799923</v>
      </c>
    </row>
    <row r="21" spans="1:4" x14ac:dyDescent="0.3">
      <c r="A21" t="s">
        <v>22</v>
      </c>
      <c r="C21">
        <v>133590.07375917921</v>
      </c>
      <c r="D21">
        <v>1534986.795946077</v>
      </c>
    </row>
    <row r="22" spans="1:4" x14ac:dyDescent="0.3">
      <c r="A22" t="s">
        <v>23</v>
      </c>
      <c r="B22">
        <v>16213021.66311864</v>
      </c>
      <c r="C22">
        <v>20056332.21841475</v>
      </c>
      <c r="D22">
        <v>20386865.22903765</v>
      </c>
    </row>
    <row r="23" spans="1:4" x14ac:dyDescent="0.3">
      <c r="A23" t="s">
        <v>24</v>
      </c>
      <c r="B23">
        <v>7599917.9032988073</v>
      </c>
      <c r="C23">
        <v>9401484.8970428854</v>
      </c>
      <c r="D23">
        <v>9556423.5505067594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/>
  </sheetViews>
  <sheetFormatPr defaultRowHeight="13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908521.20353959093</v>
      </c>
      <c r="C2">
        <v>908531.97413546732</v>
      </c>
      <c r="D2">
        <v>908530.52454106126</v>
      </c>
    </row>
    <row r="3" spans="1:4" x14ac:dyDescent="0.3">
      <c r="A3" t="s">
        <v>5</v>
      </c>
      <c r="B3">
        <v>17002555.144341979</v>
      </c>
      <c r="C3">
        <v>17002524.841577429</v>
      </c>
      <c r="D3">
        <v>17002528.919970121</v>
      </c>
    </row>
    <row r="4" spans="1:4" x14ac:dyDescent="0.3">
      <c r="A4" t="s">
        <v>25</v>
      </c>
      <c r="C4">
        <v>2.286804319605602</v>
      </c>
    </row>
    <row r="5" spans="1:4" x14ac:dyDescent="0.3">
      <c r="A5" t="s">
        <v>6</v>
      </c>
      <c r="B5">
        <v>17751281.63044253</v>
      </c>
      <c r="C5">
        <v>17751281.63044253</v>
      </c>
      <c r="D5">
        <v>17751281.630442481</v>
      </c>
    </row>
    <row r="6" spans="1:4" x14ac:dyDescent="0.3">
      <c r="A6" t="s">
        <v>7</v>
      </c>
      <c r="B6">
        <v>1653723.397935203</v>
      </c>
      <c r="C6">
        <v>623965.19857854326</v>
      </c>
      <c r="D6">
        <v>781.63372254861247</v>
      </c>
    </row>
    <row r="7" spans="1:4" x14ac:dyDescent="0.3">
      <c r="A7" t="s">
        <v>8</v>
      </c>
      <c r="B7">
        <v>16669.080594754501</v>
      </c>
      <c r="C7">
        <v>16686.75118170142</v>
      </c>
      <c r="D7">
        <v>16641.78342470264</v>
      </c>
    </row>
    <row r="8" spans="1:4" x14ac:dyDescent="0.3">
      <c r="A8" t="s">
        <v>9</v>
      </c>
      <c r="B8">
        <v>52129.498633203701</v>
      </c>
      <c r="C8">
        <v>28897.48693884362</v>
      </c>
      <c r="D8">
        <v>13813.307566738649</v>
      </c>
    </row>
    <row r="9" spans="1:4" x14ac:dyDescent="0.3">
      <c r="A9" t="s">
        <v>10</v>
      </c>
      <c r="B9">
        <v>15413.205509855999</v>
      </c>
      <c r="C9">
        <v>8544.1624528320026</v>
      </c>
      <c r="D9">
        <v>4084.200958752001</v>
      </c>
    </row>
    <row r="10" spans="1:4" x14ac:dyDescent="0.3">
      <c r="A10" t="s">
        <v>11</v>
      </c>
      <c r="B10">
        <v>14479.91742564881</v>
      </c>
      <c r="C10">
        <v>2581.6907037978508</v>
      </c>
    </row>
    <row r="11" spans="1:4" x14ac:dyDescent="0.3">
      <c r="A11" t="s">
        <v>12</v>
      </c>
      <c r="B11">
        <v>8736.8579394008793</v>
      </c>
      <c r="C11">
        <v>1548.7068346442941</v>
      </c>
    </row>
    <row r="12" spans="1:4" x14ac:dyDescent="0.3">
      <c r="A12" t="s">
        <v>13</v>
      </c>
      <c r="B12">
        <v>-3323453.754731725</v>
      </c>
      <c r="C12">
        <v>-3322235.8760102112</v>
      </c>
      <c r="D12">
        <v>-3312385.6998277139</v>
      </c>
    </row>
    <row r="13" spans="1:4" x14ac:dyDescent="0.3">
      <c r="A13" t="s">
        <v>14</v>
      </c>
      <c r="B13">
        <v>1376966.5490722151</v>
      </c>
      <c r="C13">
        <v>1376966.5490722151</v>
      </c>
      <c r="D13">
        <v>1376966.5490722151</v>
      </c>
    </row>
    <row r="14" spans="1:4" x14ac:dyDescent="0.3">
      <c r="A14" t="s">
        <v>15</v>
      </c>
      <c r="B14">
        <v>6357635.7717459407</v>
      </c>
      <c r="C14">
        <v>6357635.7717459397</v>
      </c>
      <c r="D14">
        <v>6364900.1846744381</v>
      </c>
    </row>
    <row r="15" spans="1:4" x14ac:dyDescent="0.3">
      <c r="A15" t="s">
        <v>16</v>
      </c>
      <c r="B15">
        <v>1256353.2393872391</v>
      </c>
      <c r="C15">
        <v>922150.89984580618</v>
      </c>
      <c r="D15">
        <v>698697.87360270426</v>
      </c>
    </row>
    <row r="16" spans="1:4" x14ac:dyDescent="0.3">
      <c r="A16" t="s">
        <v>17</v>
      </c>
      <c r="B16">
        <v>2759463.259870897</v>
      </c>
      <c r="C16">
        <v>2236504.1905613188</v>
      </c>
      <c r="D16">
        <v>1885292.6844902891</v>
      </c>
    </row>
    <row r="17" spans="1:4" x14ac:dyDescent="0.3">
      <c r="A17" t="s">
        <v>18</v>
      </c>
      <c r="B17">
        <v>1381921.031714048</v>
      </c>
      <c r="C17">
        <v>861832.19182524877</v>
      </c>
      <c r="D17">
        <v>141221.47113040311</v>
      </c>
    </row>
    <row r="18" spans="1:4" x14ac:dyDescent="0.3">
      <c r="A18" t="s">
        <v>19</v>
      </c>
      <c r="B18">
        <v>1058760.7166663699</v>
      </c>
      <c r="C18">
        <v>660293.93006000679</v>
      </c>
      <c r="D18">
        <v>108197.0261334323</v>
      </c>
    </row>
    <row r="19" spans="1:4" x14ac:dyDescent="0.3">
      <c r="A19" t="s">
        <v>20</v>
      </c>
      <c r="B19">
        <v>147921.62319791369</v>
      </c>
      <c r="C19">
        <v>149452.29157767101</v>
      </c>
      <c r="D19">
        <v>149117.64618906609</v>
      </c>
    </row>
    <row r="20" spans="1:4" x14ac:dyDescent="0.3">
      <c r="A20" t="s">
        <v>21</v>
      </c>
      <c r="B20">
        <v>172415.8659134983</v>
      </c>
      <c r="C20">
        <v>173127.65218601911</v>
      </c>
      <c r="D20">
        <v>172972.0365105909</v>
      </c>
    </row>
    <row r="21" spans="1:4" x14ac:dyDescent="0.3">
      <c r="A21" t="s">
        <v>22</v>
      </c>
      <c r="C21">
        <v>28195.16598413479</v>
      </c>
      <c r="D21">
        <v>292199.96338389901</v>
      </c>
    </row>
    <row r="22" spans="1:4" x14ac:dyDescent="0.3">
      <c r="A22" t="s">
        <v>23</v>
      </c>
      <c r="B22">
        <v>2956481.0277672219</v>
      </c>
      <c r="C22">
        <v>3629266.084267661</v>
      </c>
      <c r="D22">
        <v>3980845.2057488379</v>
      </c>
    </row>
    <row r="23" spans="1:4" x14ac:dyDescent="0.3">
      <c r="A23" t="s">
        <v>24</v>
      </c>
      <c r="B23">
        <v>1535265.7157245891</v>
      </c>
      <c r="C23">
        <v>1884635.0577213541</v>
      </c>
      <c r="D23">
        <v>2067205.9474057909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3"/>
  <sheetViews>
    <sheetView tabSelected="1" topLeftCell="C1" zoomScale="85" zoomScaleNormal="85" workbookViewId="0">
      <selection activeCell="M12" sqref="M12"/>
    </sheetView>
  </sheetViews>
  <sheetFormatPr defaultRowHeight="13.5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1" x14ac:dyDescent="0.3">
      <c r="A2" t="s">
        <v>4</v>
      </c>
      <c r="B2">
        <v>5.2472801144176618E-12</v>
      </c>
      <c r="C2">
        <v>-2.090357885997204E-10</v>
      </c>
      <c r="D2">
        <v>-1.6326037529324819E-9</v>
      </c>
    </row>
    <row r="3" spans="1:11" x14ac:dyDescent="0.3">
      <c r="A3" t="s">
        <v>5</v>
      </c>
      <c r="B3">
        <v>9.8420487120165482E-12</v>
      </c>
      <c r="C3">
        <v>-3.9207748949792162E-10</v>
      </c>
      <c r="D3">
        <v>-3.0621894225987488E-9</v>
      </c>
    </row>
    <row r="4" spans="1:11" x14ac:dyDescent="0.3">
      <c r="A4" t="s">
        <v>25</v>
      </c>
      <c r="B4">
        <v>7174009.1144486479</v>
      </c>
      <c r="C4">
        <v>7173981.08483251</v>
      </c>
      <c r="D4">
        <v>7174049.3318754733</v>
      </c>
    </row>
    <row r="5" spans="1:11" x14ac:dyDescent="0.3">
      <c r="A5" t="s">
        <v>6</v>
      </c>
      <c r="C5">
        <v>-6.722846250380409E-10</v>
      </c>
      <c r="D5">
        <v>-6.9656621689864007E-9</v>
      </c>
      <c r="I5" t="s">
        <v>29</v>
      </c>
      <c r="J5" t="s">
        <v>28</v>
      </c>
      <c r="K5" t="s">
        <v>27</v>
      </c>
    </row>
    <row r="6" spans="1:11" x14ac:dyDescent="0.3">
      <c r="A6" t="s">
        <v>7</v>
      </c>
      <c r="B6">
        <v>6808592.8617891101</v>
      </c>
      <c r="C6">
        <v>2763330.4126325352</v>
      </c>
      <c r="D6">
        <v>1359288.5908383729</v>
      </c>
      <c r="F6">
        <f>(B6-D6)/1000000</f>
        <v>5.4493042709507371</v>
      </c>
      <c r="I6">
        <v>2030</v>
      </c>
      <c r="J6">
        <v>304.25900000000001</v>
      </c>
      <c r="K6">
        <v>311.959</v>
      </c>
    </row>
    <row r="7" spans="1:11" x14ac:dyDescent="0.3">
      <c r="A7" t="s">
        <v>8</v>
      </c>
      <c r="B7">
        <v>66671.930158148956</v>
      </c>
      <c r="C7">
        <v>66629.061681147548</v>
      </c>
      <c r="D7">
        <v>66549.092528011053</v>
      </c>
      <c r="I7">
        <v>2050</v>
      </c>
      <c r="J7">
        <v>35.981999999999999</v>
      </c>
      <c r="K7">
        <v>47.805</v>
      </c>
    </row>
    <row r="8" spans="1:11" x14ac:dyDescent="0.3">
      <c r="A8" t="s">
        <v>9</v>
      </c>
      <c r="B8">
        <v>205774.3367100147</v>
      </c>
      <c r="C8">
        <v>137016.6088477188</v>
      </c>
      <c r="D8">
        <v>110340.1782416182</v>
      </c>
    </row>
    <row r="9" spans="1:11" x14ac:dyDescent="0.3">
      <c r="A9" t="s">
        <v>10</v>
      </c>
      <c r="B9">
        <v>60841.600696800007</v>
      </c>
      <c r="C9">
        <v>40511.902201343997</v>
      </c>
      <c r="D9">
        <v>32624.442740160001</v>
      </c>
    </row>
    <row r="10" spans="1:11" x14ac:dyDescent="0.3">
      <c r="A10" t="s">
        <v>11</v>
      </c>
      <c r="B10">
        <v>52868.535716903811</v>
      </c>
      <c r="C10">
        <v>9204.2885961488591</v>
      </c>
      <c r="I10" t="s">
        <v>30</v>
      </c>
      <c r="J10" t="s">
        <v>28</v>
      </c>
      <c r="K10" t="s">
        <v>27</v>
      </c>
    </row>
    <row r="11" spans="1:11" x14ac:dyDescent="0.3">
      <c r="A11" t="s">
        <v>12</v>
      </c>
      <c r="B11">
        <v>32748.707607095021</v>
      </c>
      <c r="C11">
        <v>5384.6163948802014</v>
      </c>
      <c r="I11">
        <v>2030</v>
      </c>
      <c r="J11">
        <v>153.31299999999999</v>
      </c>
      <c r="K11">
        <v>151.364</v>
      </c>
    </row>
    <row r="12" spans="1:11" x14ac:dyDescent="0.3">
      <c r="A12" t="s">
        <v>13</v>
      </c>
      <c r="B12">
        <v>-13292912.83460182</v>
      </c>
      <c r="C12">
        <v>-13277897.75547838</v>
      </c>
      <c r="D12">
        <v>-13262649.572958151</v>
      </c>
      <c r="I12">
        <v>2050</v>
      </c>
      <c r="J12">
        <v>16.401</v>
      </c>
      <c r="K12">
        <v>20.326000000000001</v>
      </c>
    </row>
    <row r="13" spans="1:11" x14ac:dyDescent="0.3">
      <c r="A13" t="s">
        <v>14</v>
      </c>
      <c r="B13">
        <v>1376966.5490722151</v>
      </c>
      <c r="C13">
        <v>1376966.5490722151</v>
      </c>
      <c r="D13">
        <v>1376966.5490722151</v>
      </c>
    </row>
    <row r="14" spans="1:11" x14ac:dyDescent="0.3">
      <c r="A14" t="s">
        <v>15</v>
      </c>
      <c r="C14">
        <v>-2.4414553170197469E-10</v>
      </c>
      <c r="D14">
        <v>-2.5859364323809888E-9</v>
      </c>
    </row>
    <row r="15" spans="1:11" x14ac:dyDescent="0.3">
      <c r="A15" t="s">
        <v>16</v>
      </c>
      <c r="B15">
        <v>5001308.695242852</v>
      </c>
      <c r="C15">
        <v>4095444.459117386</v>
      </c>
      <c r="D15">
        <v>3668082.403095596</v>
      </c>
      <c r="I15" t="s">
        <v>31</v>
      </c>
    </row>
    <row r="16" spans="1:11" x14ac:dyDescent="0.3">
      <c r="A16" t="s">
        <v>17</v>
      </c>
      <c r="B16">
        <v>10999729.382855561</v>
      </c>
      <c r="C16">
        <v>9573361.6346130483</v>
      </c>
      <c r="D16">
        <v>8896212.9812522512</v>
      </c>
      <c r="J16" t="s">
        <v>28</v>
      </c>
      <c r="K16" t="s">
        <v>27</v>
      </c>
    </row>
    <row r="17" spans="1:11" x14ac:dyDescent="0.3">
      <c r="A17" t="s">
        <v>18</v>
      </c>
      <c r="B17">
        <v>5488969.3491512192</v>
      </c>
      <c r="C17">
        <v>4780985.0345529681</v>
      </c>
      <c r="D17">
        <v>4157769.2674140008</v>
      </c>
      <c r="I17">
        <v>2030</v>
      </c>
      <c r="J17">
        <f>J6-J11</f>
        <v>150.94600000000003</v>
      </c>
      <c r="K17">
        <f>K6-K11</f>
        <v>160.595</v>
      </c>
    </row>
    <row r="18" spans="1:11" x14ac:dyDescent="0.3">
      <c r="A18" t="s">
        <v>19</v>
      </c>
      <c r="B18">
        <v>4205381.4859875543</v>
      </c>
      <c r="C18">
        <v>3662958.3206183622</v>
      </c>
      <c r="D18">
        <v>3185480.6955507318</v>
      </c>
      <c r="I18">
        <v>2050</v>
      </c>
      <c r="J18">
        <f>J7-J12</f>
        <v>19.581</v>
      </c>
      <c r="K18">
        <f>K7-K12</f>
        <v>27.478999999999999</v>
      </c>
    </row>
    <row r="19" spans="1:11" x14ac:dyDescent="0.3">
      <c r="A19" t="s">
        <v>20</v>
      </c>
      <c r="B19">
        <v>590825.97301709827</v>
      </c>
      <c r="C19">
        <v>589004.06505029928</v>
      </c>
      <c r="D19">
        <v>593440.08125055919</v>
      </c>
    </row>
    <row r="20" spans="1:11" x14ac:dyDescent="0.3">
      <c r="A20" t="s">
        <v>21</v>
      </c>
      <c r="B20">
        <v>689263.30763662083</v>
      </c>
      <c r="C20">
        <v>688416.09010883141</v>
      </c>
      <c r="D20">
        <v>690478.91147352557</v>
      </c>
    </row>
    <row r="21" spans="1:11" x14ac:dyDescent="0.3">
      <c r="A21" t="s">
        <v>22</v>
      </c>
      <c r="C21">
        <v>124180.5042756678</v>
      </c>
      <c r="D21">
        <v>1124827.521831088</v>
      </c>
    </row>
    <row r="22" spans="1:11" x14ac:dyDescent="0.3">
      <c r="A22" t="s">
        <v>23</v>
      </c>
      <c r="B22">
        <v>11790818.110702271</v>
      </c>
      <c r="C22">
        <v>12527650.480454169</v>
      </c>
      <c r="D22">
        <v>12766758.887828531</v>
      </c>
    </row>
    <row r="23" spans="1:11" x14ac:dyDescent="0.3">
      <c r="A23" t="s">
        <v>24</v>
      </c>
      <c r="B23">
        <v>6122832.7311055688</v>
      </c>
      <c r="C23">
        <v>6505461.0872125952</v>
      </c>
      <c r="D23">
        <v>6629627.2620453183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114.9915320326587</v>
      </c>
    </row>
    <row r="3" spans="1:2" x14ac:dyDescent="0.3">
      <c r="A3" t="s">
        <v>2</v>
      </c>
      <c r="B3">
        <v>62.846595715662417</v>
      </c>
    </row>
    <row r="4" spans="1:2" x14ac:dyDescent="0.3">
      <c r="A4" t="s">
        <v>3</v>
      </c>
      <c r="B4">
        <v>36.06404139609112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311.32037328726881</v>
      </c>
    </row>
    <row r="3" spans="1:2" x14ac:dyDescent="0.3">
      <c r="A3" t="s">
        <v>2</v>
      </c>
      <c r="B3">
        <v>150.29734634305549</v>
      </c>
    </row>
    <row r="4" spans="1:2" x14ac:dyDescent="0.3">
      <c r="A4" t="s">
        <v>3</v>
      </c>
      <c r="B4">
        <v>128.2927434787608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10.960914079943089</v>
      </c>
    </row>
    <row r="3" spans="1:2" x14ac:dyDescent="0.3">
      <c r="A3" t="s">
        <v>2</v>
      </c>
      <c r="B3">
        <v>-7.6880426229465888</v>
      </c>
    </row>
    <row r="4" spans="1:2" x14ac:dyDescent="0.3">
      <c r="A4" t="s">
        <v>3</v>
      </c>
      <c r="B4">
        <v>-22.185991569210021</v>
      </c>
    </row>
  </sheetData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49.753079350683123</v>
      </c>
    </row>
    <row r="3" spans="1:2" x14ac:dyDescent="0.3">
      <c r="A3" t="s">
        <v>2</v>
      </c>
      <c r="B3">
        <v>22.79353556125918</v>
      </c>
    </row>
    <row r="4" spans="1:2" x14ac:dyDescent="0.3">
      <c r="A4" t="s">
        <v>3</v>
      </c>
      <c r="B4">
        <v>14.46812455003532</v>
      </c>
    </row>
  </sheetData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-40.992400725325354</v>
      </c>
    </row>
    <row r="3" spans="1:2" x14ac:dyDescent="0.3">
      <c r="A3" t="s">
        <v>2</v>
      </c>
      <c r="B3">
        <v>-50.895961477440757</v>
      </c>
    </row>
    <row r="4" spans="1:2" x14ac:dyDescent="0.3">
      <c r="A4" t="s">
        <v>3</v>
      </c>
      <c r="B4">
        <v>-60.726103933747417</v>
      </c>
    </row>
  </sheetData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"/>
  <sheetViews>
    <sheetView workbookViewId="0"/>
  </sheetViews>
  <sheetFormatPr defaultRowHeight="13.5" x14ac:dyDescent="0.3"/>
  <sheetData>
    <row r="1" spans="1:2" x14ac:dyDescent="0.3">
      <c r="A1" s="1" t="s">
        <v>0</v>
      </c>
      <c r="B1" s="1" t="s">
        <v>26</v>
      </c>
    </row>
    <row r="2" spans="1:2" x14ac:dyDescent="0.3">
      <c r="A2" t="s">
        <v>1</v>
      </c>
      <c r="B2">
        <v>-27.518040090817429</v>
      </c>
    </row>
    <row r="3" spans="1:2" x14ac:dyDescent="0.3">
      <c r="A3" t="s">
        <v>2</v>
      </c>
      <c r="B3">
        <v>-40.574457953823057</v>
      </c>
    </row>
    <row r="4" spans="1:2" x14ac:dyDescent="0.3">
      <c r="A4" t="s">
        <v>3</v>
      </c>
      <c r="B4">
        <v>-45.338075082117989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2030_ED25_CB</vt:lpstr>
      <vt:lpstr>2030_ED100_CB</vt:lpstr>
      <vt:lpstr>2040_ED25_CB</vt:lpstr>
      <vt:lpstr>2040_ED100_CB</vt:lpstr>
      <vt:lpstr>2050_ED25_CB</vt:lpstr>
      <vt:lpstr>2050_ED100_CB</vt:lpstr>
      <vt:lpstr>2030_ED25_LCCE</vt:lpstr>
      <vt:lpstr>2030_ED100_LCCE</vt:lpstr>
      <vt:lpstr>2040_ED25_LCCE</vt:lpstr>
      <vt:lpstr>2040_ED100_LCCE</vt:lpstr>
      <vt:lpstr>2050_ED25_LCCE</vt:lpstr>
      <vt:lpstr>2050_ED100_LCCE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Jiaxin Ding</cp:lastModifiedBy>
  <dcterms:created xsi:type="dcterms:W3CDTF">2026-02-27T13:52:47Z</dcterms:created>
  <dcterms:modified xsi:type="dcterms:W3CDTF">2026-02-28T08:54:29Z</dcterms:modified>
</cp:coreProperties>
</file>