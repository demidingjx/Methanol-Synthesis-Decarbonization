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2025_Methanol_synthesis\3_GAMS\P2_Cost_vs_ED\pycode\PEM\bar_allyears\"/>
    </mc:Choice>
  </mc:AlternateContent>
  <xr:revisionPtr revIDLastSave="0" documentId="13_ncr:1_{A8A7A81C-B294-47BB-95C7-509A1C0CF4D2}" xr6:coauthVersionLast="47" xr6:coauthVersionMax="47" xr10:uidLastSave="{00000000-0000-0000-0000-000000000000}"/>
  <bookViews>
    <workbookView xWindow="300" yWindow="1350" windowWidth="14400" windowHeight="8182" firstSheet="4" activeTab="5" xr2:uid="{00000000-000D-0000-FFFF-FFFF00000000}"/>
  </bookViews>
  <sheets>
    <sheet name="2030_ED25_CB" sheetId="1" r:id="rId1"/>
    <sheet name="2030_ED100_CB" sheetId="2" r:id="rId2"/>
    <sheet name="2040_ED25_CB" sheetId="3" r:id="rId3"/>
    <sheet name="2040_ED100_CB" sheetId="4" r:id="rId4"/>
    <sheet name="2050_ED25_CB" sheetId="5" r:id="rId5"/>
    <sheet name="2050_ED100_CB" sheetId="6" r:id="rId6"/>
    <sheet name="2030_ED25_LCCE" sheetId="7" r:id="rId7"/>
    <sheet name="2030_ED100_LCCE" sheetId="8" r:id="rId8"/>
    <sheet name="2040_ED25_LCCE" sheetId="9" r:id="rId9"/>
    <sheet name="2040_ED100_LCCE" sheetId="10" r:id="rId10"/>
    <sheet name="2050_ED25_LCCE" sheetId="11" r:id="rId11"/>
    <sheet name="2050_ED100_LCCE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6" l="1"/>
  <c r="C28" i="1"/>
  <c r="B28" i="1"/>
  <c r="C28" i="2"/>
  <c r="B28" i="2"/>
  <c r="C28" i="4"/>
  <c r="B28" i="4"/>
  <c r="B28" i="6"/>
  <c r="C28" i="6"/>
  <c r="B25" i="6"/>
  <c r="D25" i="6"/>
  <c r="C25" i="6"/>
  <c r="D26" i="6" s="1"/>
  <c r="C26" i="6"/>
  <c r="D25" i="5"/>
  <c r="C25" i="5"/>
  <c r="D26" i="5" s="1"/>
  <c r="B25" i="5"/>
  <c r="C26" i="5" s="1"/>
  <c r="D25" i="4"/>
  <c r="C25" i="4"/>
  <c r="D26" i="4" s="1"/>
  <c r="B25" i="4"/>
  <c r="C26" i="4" s="1"/>
  <c r="D25" i="3"/>
  <c r="C25" i="3"/>
  <c r="D26" i="3" s="1"/>
  <c r="B25" i="3"/>
  <c r="C26" i="3" s="1"/>
  <c r="C25" i="2"/>
  <c r="D25" i="2"/>
  <c r="D26" i="2" s="1"/>
  <c r="B25" i="2"/>
  <c r="C26" i="2" s="1"/>
  <c r="C24" i="1"/>
  <c r="D25" i="1" s="1"/>
  <c r="D24" i="1"/>
  <c r="B24" i="1"/>
  <c r="C25" i="1" l="1"/>
</calcChain>
</file>

<file path=xl/sharedStrings.xml><?xml version="1.0" encoding="utf-8"?>
<sst xmlns="http://schemas.openxmlformats.org/spreadsheetml/2006/main" count="184" uniqueCount="27">
  <si>
    <t>Type</t>
  </si>
  <si>
    <t>City</t>
  </si>
  <si>
    <t>Prov</t>
  </si>
  <si>
    <t>State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</si>
  <si>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</si>
  <si>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</si>
  <si>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</si>
  <si>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</si>
  <si>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</si>
  <si>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</si>
  <si>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</si>
  <si>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</si>
  <si>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</si>
  <si>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</si>
  <si>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</si>
  <si>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Lib_CAP</t>
  </si>
  <si>
    <t>Lib_OM</t>
  </si>
  <si>
    <t>HST_CAP</t>
  </si>
  <si>
    <t>HST_OM</t>
  </si>
  <si>
    <t>RWS_CAP</t>
  </si>
  <si>
    <t>RWS_OM</t>
  </si>
  <si>
    <t>CO2e</t>
  </si>
  <si>
    <t>CO2c</t>
  </si>
  <si>
    <t>OM_Msyn</t>
  </si>
  <si>
    <t>TNS</t>
  </si>
  <si>
    <t>CO2p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</si>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</sst>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opLeftCell="A16" workbookViewId="0">
      <selection activeCell="B28" sqref="B28:C28"/>
    </sheetView>
  </sheetViews>
  <sheetFormatPr defaultRowHeight="13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11119670.426506771</v>
      </c>
      <c r="C2">
        <v>5099030.4766968181</v>
      </c>
      <c r="D2">
        <v>2313237.5475082821</v>
      </c>
    </row>
    <row r="3" spans="1:4" x14ac:dyDescent="0.3">
      <c r="A3" t="s">
        <v>5</v>
      </c>
      <c r="B3">
        <v>16675.68815491752</v>
      </c>
      <c r="C3">
        <v>16614.942699382751</v>
      </c>
      <c r="D3">
        <v>16555.875585332291</v>
      </c>
    </row>
    <row r="4" spans="1:4" x14ac:dyDescent="0.3">
      <c r="A4" t="s">
        <v>6</v>
      </c>
      <c r="B4">
        <v>-3319414.1148149818</v>
      </c>
      <c r="C4">
        <v>-3308128.7289596461</v>
      </c>
      <c r="D4">
        <v>-3297127.0974369869</v>
      </c>
    </row>
    <row r="5" spans="1:4" x14ac:dyDescent="0.3">
      <c r="A5" t="s">
        <v>7</v>
      </c>
      <c r="B5">
        <v>6155422.0490162652</v>
      </c>
      <c r="C5">
        <v>6155422.049016268</v>
      </c>
      <c r="D5">
        <v>6149180.9389800914</v>
      </c>
    </row>
    <row r="6" spans="1:4" x14ac:dyDescent="0.3">
      <c r="A6" t="s">
        <v>8</v>
      </c>
      <c r="B6">
        <v>13179801.50432473</v>
      </c>
      <c r="C6">
        <v>13179801.50432474</v>
      </c>
      <c r="D6">
        <v>13179801.50432431</v>
      </c>
    </row>
    <row r="7" spans="1:4" x14ac:dyDescent="0.3">
      <c r="A7" t="s">
        <v>9</v>
      </c>
      <c r="B7">
        <v>1347734.2201822861</v>
      </c>
      <c r="C7">
        <v>1905702.74907104</v>
      </c>
      <c r="D7">
        <v>518956.92725752079</v>
      </c>
    </row>
    <row r="8" spans="1:4" x14ac:dyDescent="0.3">
      <c r="A8" t="s">
        <v>10</v>
      </c>
      <c r="B8">
        <v>750664.36507463991</v>
      </c>
      <c r="C8">
        <v>1061443.0669861019</v>
      </c>
      <c r="D8">
        <v>289049.92280166579</v>
      </c>
    </row>
    <row r="9" spans="1:4" x14ac:dyDescent="0.3">
      <c r="A9" t="s">
        <v>11</v>
      </c>
      <c r="B9">
        <v>1869291.590120587</v>
      </c>
      <c r="C9">
        <v>4687262.7385028657</v>
      </c>
      <c r="D9">
        <v>6817504.4950522752</v>
      </c>
    </row>
    <row r="10" spans="1:4" x14ac:dyDescent="0.3">
      <c r="A10" t="s">
        <v>12</v>
      </c>
      <c r="B10">
        <v>777535.34241136163</v>
      </c>
      <c r="C10">
        <v>1949675.7261496789</v>
      </c>
      <c r="D10">
        <v>2835753.7796494951</v>
      </c>
    </row>
    <row r="11" spans="1:4" x14ac:dyDescent="0.3">
      <c r="A11" t="s">
        <v>13</v>
      </c>
      <c r="B11">
        <v>7196519.8442607624</v>
      </c>
      <c r="C11">
        <v>5787948.3444944192</v>
      </c>
      <c r="D11">
        <v>4826573.6705280216</v>
      </c>
    </row>
    <row r="12" spans="1:4" x14ac:dyDescent="0.3">
      <c r="A12" t="s">
        <v>14</v>
      </c>
      <c r="B12">
        <v>4367198.8918986376</v>
      </c>
      <c r="C12">
        <v>3814599.2376539689</v>
      </c>
      <c r="D12">
        <v>3438226.4451797451</v>
      </c>
    </row>
    <row r="13" spans="1:4" x14ac:dyDescent="0.3">
      <c r="A13" t="s">
        <v>15</v>
      </c>
      <c r="B13">
        <v>8153.3805733001082</v>
      </c>
    </row>
    <row r="14" spans="1:4" x14ac:dyDescent="0.3">
      <c r="A14" t="s">
        <v>16</v>
      </c>
      <c r="B14">
        <v>3526.387294098754</v>
      </c>
    </row>
    <row r="15" spans="1:4" x14ac:dyDescent="0.3">
      <c r="A15" t="s">
        <v>17</v>
      </c>
      <c r="B15">
        <v>106239.76406424159</v>
      </c>
      <c r="C15">
        <v>68189.352112155088</v>
      </c>
      <c r="D15">
        <v>24236.731045388438</v>
      </c>
    </row>
    <row r="16" spans="1:4" x14ac:dyDescent="0.3">
      <c r="A16" t="s">
        <v>18</v>
      </c>
      <c r="B16">
        <v>14854.832377920009</v>
      </c>
      <c r="C16">
        <v>9534.4846113600033</v>
      </c>
      <c r="D16">
        <v>3388.8683793599998</v>
      </c>
    </row>
    <row r="17" spans="1:4" x14ac:dyDescent="0.3">
      <c r="A17" t="s">
        <v>19</v>
      </c>
      <c r="B17">
        <v>211360.8102148636</v>
      </c>
      <c r="C17">
        <v>211473.26607222931</v>
      </c>
      <c r="D17">
        <v>205222.6078286673</v>
      </c>
    </row>
    <row r="18" spans="1:4" x14ac:dyDescent="0.3">
      <c r="A18" t="s">
        <v>20</v>
      </c>
      <c r="B18">
        <v>206380.4487620311</v>
      </c>
      <c r="C18">
        <v>206422.84258063079</v>
      </c>
      <c r="D18">
        <v>204066.45779184371</v>
      </c>
    </row>
    <row r="19" spans="1:4" x14ac:dyDescent="0.3">
      <c r="A19" t="s">
        <v>21</v>
      </c>
      <c r="B19">
        <v>12744216.08581998</v>
      </c>
      <c r="C19">
        <v>12744214.86036299</v>
      </c>
      <c r="D19">
        <v>12744282.97520455</v>
      </c>
    </row>
    <row r="20" spans="1:4" x14ac:dyDescent="0.3">
      <c r="A20" t="s">
        <v>22</v>
      </c>
      <c r="B20">
        <v>1129691.9434968161</v>
      </c>
      <c r="C20">
        <v>1129692.6661250279</v>
      </c>
      <c r="D20">
        <v>1129652.500124821</v>
      </c>
    </row>
    <row r="21" spans="1:4" x14ac:dyDescent="0.3">
      <c r="A21" t="s">
        <v>23</v>
      </c>
      <c r="B21">
        <v>1107348.2520993131</v>
      </c>
      <c r="C21">
        <v>1107348.2520993131</v>
      </c>
      <c r="D21">
        <v>1107348.2520993131</v>
      </c>
    </row>
    <row r="22" spans="1:4" x14ac:dyDescent="0.3">
      <c r="A22" t="s">
        <v>24</v>
      </c>
      <c r="C22">
        <v>29821.673863750329</v>
      </c>
      <c r="D22">
        <v>846060.2843675802</v>
      </c>
    </row>
    <row r="24" spans="1:4" x14ac:dyDescent="0.3">
      <c r="B24">
        <f>SUM(B2:B22)</f>
        <v>58992871.711838543</v>
      </c>
      <c r="C24">
        <f t="shared" ref="C24:D24" si="0">SUM(C2:C22)</f>
        <v>55856069.504463099</v>
      </c>
      <c r="D24">
        <f t="shared" si="0"/>
        <v>53351972.68627128</v>
      </c>
    </row>
    <row r="25" spans="1:4" x14ac:dyDescent="0.3">
      <c r="C25">
        <f>(B24-C24)/B24</f>
        <v>5.3172563334392804E-2</v>
      </c>
      <c r="D25">
        <f>(C24-D24)/C24</f>
        <v>4.4831239297848061E-2</v>
      </c>
    </row>
    <row r="28" spans="1:4" x14ac:dyDescent="0.3">
      <c r="B28">
        <f>(B2/SUM(B2:B23))</f>
        <v>0.1884917635612457</v>
      </c>
      <c r="C28">
        <f>(C2/SUM(C2:C23))</f>
        <v>9.1288744838900412E-2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topLeftCell="A8" workbookViewId="0">
      <selection activeCell="B28" sqref="B28:C28"/>
    </sheetView>
  </sheetViews>
  <sheetFormatPr defaultRowHeight="13.5" x14ac:dyDescent="0.3"/>
  <cols>
    <col min="2" max="2" width="12.199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44499558.759083547</v>
      </c>
      <c r="C2">
        <v>24354985.346840989</v>
      </c>
      <c r="D2">
        <v>18396380.903154779</v>
      </c>
    </row>
    <row r="3" spans="1:4" x14ac:dyDescent="0.3">
      <c r="A3" t="s">
        <v>5</v>
      </c>
      <c r="B3">
        <v>66712.104457913199</v>
      </c>
      <c r="C3">
        <v>66496.12730235474</v>
      </c>
      <c r="D3">
        <v>66344.721299662691</v>
      </c>
    </row>
    <row r="4" spans="1:4" x14ac:dyDescent="0.3">
      <c r="A4" t="s">
        <v>6</v>
      </c>
      <c r="B4">
        <v>-13278885.925941801</v>
      </c>
      <c r="C4">
        <v>-13237715.0687973</v>
      </c>
      <c r="D4">
        <v>-13211921.57604949</v>
      </c>
    </row>
    <row r="5" spans="1:4" x14ac:dyDescent="0.3">
      <c r="A5" t="s">
        <v>9</v>
      </c>
      <c r="B5">
        <v>5381773.88159048</v>
      </c>
      <c r="C5">
        <v>7370612.1962779574</v>
      </c>
      <c r="D5">
        <v>5593752.5956248939</v>
      </c>
    </row>
    <row r="6" spans="1:4" x14ac:dyDescent="0.3">
      <c r="A6" t="s">
        <v>10</v>
      </c>
      <c r="B6">
        <v>2997553.8302002791</v>
      </c>
      <c r="C6">
        <v>4105301.9517320362</v>
      </c>
      <c r="D6">
        <v>3115622.2626828039</v>
      </c>
    </row>
    <row r="7" spans="1:4" x14ac:dyDescent="0.3">
      <c r="A7" t="s">
        <v>11</v>
      </c>
      <c r="B7">
        <v>7420767.454903733</v>
      </c>
      <c r="C7">
        <v>16888708.083159178</v>
      </c>
      <c r="D7">
        <v>20831069.810096219</v>
      </c>
    </row>
    <row r="8" spans="1:4" x14ac:dyDescent="0.3">
      <c r="A8" t="s">
        <v>12</v>
      </c>
      <c r="B8">
        <v>3086682.1391046052</v>
      </c>
      <c r="C8">
        <v>7024889.7987486254</v>
      </c>
      <c r="D8">
        <v>8664722.5522173848</v>
      </c>
    </row>
    <row r="9" spans="1:4" x14ac:dyDescent="0.3">
      <c r="A9" t="s">
        <v>13</v>
      </c>
      <c r="B9">
        <v>28890490.970732011</v>
      </c>
      <c r="C9">
        <v>23547769.421967931</v>
      </c>
      <c r="D9">
        <v>21329515.56359465</v>
      </c>
    </row>
    <row r="10" spans="1:4" x14ac:dyDescent="0.3">
      <c r="A10" t="s">
        <v>14</v>
      </c>
      <c r="B10">
        <v>17511657.397280522</v>
      </c>
      <c r="C10">
        <v>15419380.844580909</v>
      </c>
      <c r="D10">
        <v>14541141.497328401</v>
      </c>
    </row>
    <row r="11" spans="1:4" x14ac:dyDescent="0.3">
      <c r="A11" t="s">
        <v>15</v>
      </c>
      <c r="B11">
        <v>6170.1258392541349</v>
      </c>
      <c r="C11">
        <v>220.3616371162191</v>
      </c>
    </row>
    <row r="12" spans="1:4" x14ac:dyDescent="0.3">
      <c r="A12" t="s">
        <v>16</v>
      </c>
      <c r="B12">
        <v>2631.1095751072571</v>
      </c>
      <c r="C12">
        <v>85.156196633255661</v>
      </c>
    </row>
    <row r="13" spans="1:4" x14ac:dyDescent="0.3">
      <c r="A13" t="s">
        <v>17</v>
      </c>
      <c r="B13">
        <v>428381.08175430761</v>
      </c>
      <c r="C13">
        <v>299034.79690068011</v>
      </c>
      <c r="D13">
        <v>213452.76473781871</v>
      </c>
    </row>
    <row r="14" spans="1:4" x14ac:dyDescent="0.3">
      <c r="A14" t="s">
        <v>18</v>
      </c>
      <c r="B14">
        <v>59897.809632600023</v>
      </c>
      <c r="C14">
        <v>41812.139006999991</v>
      </c>
      <c r="D14">
        <v>29845.746258120009</v>
      </c>
    </row>
    <row r="15" spans="1:4" x14ac:dyDescent="0.3">
      <c r="A15" t="s">
        <v>19</v>
      </c>
      <c r="B15">
        <v>844978.46972618089</v>
      </c>
      <c r="C15">
        <v>845954.14100818895</v>
      </c>
      <c r="D15">
        <v>830111.44845908682</v>
      </c>
    </row>
    <row r="16" spans="1:4" x14ac:dyDescent="0.3">
      <c r="A16" t="s">
        <v>20</v>
      </c>
      <c r="B16">
        <v>825346.58476049604</v>
      </c>
      <c r="C16">
        <v>825714.39513793157</v>
      </c>
      <c r="D16">
        <v>819741.98738793668</v>
      </c>
    </row>
    <row r="17" spans="1:4" x14ac:dyDescent="0.3">
      <c r="A17" t="s">
        <v>25</v>
      </c>
      <c r="B17">
        <v>8849247.7087018304</v>
      </c>
      <c r="C17">
        <v>8849259.9865700789</v>
      </c>
      <c r="D17">
        <v>8849060.6217872109</v>
      </c>
    </row>
    <row r="18" spans="1:4" x14ac:dyDescent="0.3">
      <c r="A18" t="s">
        <v>23</v>
      </c>
      <c r="B18">
        <v>1107348.2520993131</v>
      </c>
      <c r="C18">
        <v>1107348.2520993131</v>
      </c>
      <c r="D18">
        <v>1107348.2520993131</v>
      </c>
    </row>
    <row r="19" spans="1:4" x14ac:dyDescent="0.3">
      <c r="A19" t="s">
        <v>24</v>
      </c>
      <c r="C19">
        <v>109580.28297922639</v>
      </c>
      <c r="D19">
        <v>1857679.653679936</v>
      </c>
    </row>
    <row r="20" spans="1:4" x14ac:dyDescent="0.3">
      <c r="A20" t="s">
        <v>7</v>
      </c>
      <c r="C20">
        <v>2.0326534923553891E-8</v>
      </c>
      <c r="D20">
        <v>2.5861042728435269E-7</v>
      </c>
    </row>
    <row r="21" spans="1:4" x14ac:dyDescent="0.3">
      <c r="A21" t="s">
        <v>8</v>
      </c>
      <c r="C21">
        <v>4.3500791313801338E-8</v>
      </c>
      <c r="D21">
        <v>5.4063620237680291E-7</v>
      </c>
    </row>
    <row r="22" spans="1:4" x14ac:dyDescent="0.3">
      <c r="A22" t="s">
        <v>21</v>
      </c>
      <c r="C22">
        <v>1.932146781138613E-8</v>
      </c>
      <c r="D22">
        <v>2.4052049242277471E-7</v>
      </c>
    </row>
    <row r="23" spans="1:4" x14ac:dyDescent="0.3">
      <c r="A23" t="s">
        <v>22</v>
      </c>
      <c r="C23">
        <v>1.709024179876906E-8</v>
      </c>
      <c r="D23">
        <v>2.127453987031913E-7</v>
      </c>
    </row>
    <row r="25" spans="1:4" x14ac:dyDescent="0.3">
      <c r="B25">
        <f>SUM(B2:B23)</f>
        <v>108700311.75350037</v>
      </c>
      <c r="C25">
        <f t="shared" ref="C25:D25" si="0">SUM(C2:C23)</f>
        <v>97619438.213348925</v>
      </c>
      <c r="D25">
        <f t="shared" si="0"/>
        <v>93033868.804359972</v>
      </c>
    </row>
    <row r="26" spans="1:4" x14ac:dyDescent="0.3">
      <c r="C26">
        <f>(B25-C25)/B25</f>
        <v>0.10193966660628846</v>
      </c>
      <c r="D26">
        <f>(C25-D25)/C25</f>
        <v>4.697393770047225E-2</v>
      </c>
    </row>
    <row r="28" spans="1:4" x14ac:dyDescent="0.3">
      <c r="B28">
        <f>(B2/SUM(B2:B23))</f>
        <v>0.40937839129656928</v>
      </c>
      <c r="C28">
        <f>(C2/SUM(C2:C23))</f>
        <v>0.24948909553866475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topLeftCell="A10" workbookViewId="0">
      <selection activeCell="B25" sqref="B25:D26"/>
    </sheetView>
  </sheetViews>
  <sheetFormatPr defaultRowHeight="13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8654404.1765392981</v>
      </c>
      <c r="C2">
        <v>3141983.8054065299</v>
      </c>
      <c r="D2">
        <v>858822.55336474744</v>
      </c>
    </row>
    <row r="3" spans="1:4" x14ac:dyDescent="0.3">
      <c r="A3" t="s">
        <v>5</v>
      </c>
      <c r="B3">
        <v>16711.10914618248</v>
      </c>
      <c r="C3">
        <v>16640.744477459419</v>
      </c>
      <c r="D3">
        <v>16569.406103292211</v>
      </c>
    </row>
    <row r="4" spans="1:4" x14ac:dyDescent="0.3">
      <c r="A4" t="s">
        <v>6</v>
      </c>
      <c r="B4">
        <v>-3327160.4157082932</v>
      </c>
      <c r="C4">
        <v>-3313190.2084054109</v>
      </c>
      <c r="D4">
        <v>-3300268.2803972778</v>
      </c>
    </row>
    <row r="5" spans="1:4" x14ac:dyDescent="0.3">
      <c r="A5" t="s">
        <v>7</v>
      </c>
      <c r="B5">
        <v>6245331.5272971028</v>
      </c>
      <c r="C5">
        <v>6245331.5272971094</v>
      </c>
      <c r="D5">
        <v>6238468.5591226825</v>
      </c>
    </row>
    <row r="6" spans="1:4" x14ac:dyDescent="0.3">
      <c r="A6" t="s">
        <v>8</v>
      </c>
      <c r="B6">
        <v>15295697.71073609</v>
      </c>
      <c r="C6">
        <v>15295697.710736111</v>
      </c>
      <c r="D6">
        <v>15295697.710736141</v>
      </c>
    </row>
    <row r="7" spans="1:4" x14ac:dyDescent="0.3">
      <c r="A7" t="s">
        <v>9</v>
      </c>
      <c r="B7">
        <v>846957.30784641264</v>
      </c>
      <c r="C7">
        <v>1373441.195075759</v>
      </c>
      <c r="D7">
        <v>569926.09423660522</v>
      </c>
    </row>
    <row r="8" spans="1:4" x14ac:dyDescent="0.3">
      <c r="A8" t="s">
        <v>10</v>
      </c>
      <c r="B8">
        <v>564076.70261815109</v>
      </c>
      <c r="C8">
        <v>914716.92065352167</v>
      </c>
      <c r="D8">
        <v>379572.88873328158</v>
      </c>
    </row>
    <row r="9" spans="1:4" x14ac:dyDescent="0.3">
      <c r="A9" t="s">
        <v>11</v>
      </c>
      <c r="B9">
        <v>2140050.88231593</v>
      </c>
      <c r="C9">
        <v>3861302.6698682192</v>
      </c>
      <c r="D9">
        <v>5149086.9684192287</v>
      </c>
    </row>
    <row r="10" spans="1:4" x14ac:dyDescent="0.3">
      <c r="A10" t="s">
        <v>12</v>
      </c>
      <c r="B10">
        <v>1003157.298647239</v>
      </c>
      <c r="C10">
        <v>1810000.868471191</v>
      </c>
      <c r="D10">
        <v>2413654.8417714611</v>
      </c>
    </row>
    <row r="11" spans="1:4" x14ac:dyDescent="0.3">
      <c r="A11" t="s">
        <v>13</v>
      </c>
      <c r="B11">
        <v>3996775.5574401459</v>
      </c>
      <c r="C11">
        <v>2944606.0340510472</v>
      </c>
      <c r="D11">
        <v>2386526.087447857</v>
      </c>
    </row>
    <row r="12" spans="1:4" x14ac:dyDescent="0.3">
      <c r="A12" t="s">
        <v>14</v>
      </c>
      <c r="B12">
        <v>3548865.71672383</v>
      </c>
      <c r="C12">
        <v>2904414.650631452</v>
      </c>
      <c r="D12">
        <v>2561204.4018609049</v>
      </c>
    </row>
    <row r="13" spans="1:4" x14ac:dyDescent="0.3">
      <c r="A13" t="s">
        <v>15</v>
      </c>
      <c r="B13">
        <v>19714.762035361749</v>
      </c>
      <c r="C13">
        <v>3725.6243216431658</v>
      </c>
    </row>
    <row r="14" spans="1:4" x14ac:dyDescent="0.3">
      <c r="A14" t="s">
        <v>16</v>
      </c>
      <c r="B14">
        <v>10283.77787872055</v>
      </c>
      <c r="C14">
        <v>1885.287917869163</v>
      </c>
    </row>
    <row r="15" spans="1:4" x14ac:dyDescent="0.3">
      <c r="A15" t="s">
        <v>17</v>
      </c>
      <c r="B15">
        <v>65290.618543296878</v>
      </c>
      <c r="C15">
        <v>37325.580651920493</v>
      </c>
      <c r="D15">
        <v>16405.933486007001</v>
      </c>
    </row>
    <row r="16" spans="1:4" x14ac:dyDescent="0.3">
      <c r="A16" t="s">
        <v>18</v>
      </c>
      <c r="B16">
        <v>17207.725449599999</v>
      </c>
      <c r="C16">
        <v>9837.3756970800023</v>
      </c>
      <c r="D16">
        <v>4323.8799918000004</v>
      </c>
    </row>
    <row r="17" spans="1:4" x14ac:dyDescent="0.3">
      <c r="A17" t="s">
        <v>19</v>
      </c>
      <c r="B17">
        <v>171295.67349017269</v>
      </c>
      <c r="C17">
        <v>172979.87424529999</v>
      </c>
      <c r="D17">
        <v>167653.5787859241</v>
      </c>
    </row>
    <row r="18" spans="1:4" x14ac:dyDescent="0.3">
      <c r="A18" t="s">
        <v>20</v>
      </c>
      <c r="B18">
        <v>187616.84893631371</v>
      </c>
      <c r="C18">
        <v>188334.89415691199</v>
      </c>
      <c r="D18">
        <v>186064.07163978921</v>
      </c>
    </row>
    <row r="19" spans="1:4" x14ac:dyDescent="0.3">
      <c r="A19" t="s">
        <v>21</v>
      </c>
      <c r="B19">
        <v>15029997.145400571</v>
      </c>
      <c r="C19">
        <v>15029987.149955301</v>
      </c>
      <c r="D19">
        <v>15030081.52291047</v>
      </c>
    </row>
    <row r="20" spans="1:4" x14ac:dyDescent="0.3">
      <c r="A20" t="s">
        <v>22</v>
      </c>
      <c r="B20">
        <v>983789.32294016401</v>
      </c>
      <c r="C20">
        <v>983793.67512364988</v>
      </c>
      <c r="D20">
        <v>983752.58356620721</v>
      </c>
    </row>
    <row r="21" spans="1:4" x14ac:dyDescent="0.3">
      <c r="A21" t="s">
        <v>23</v>
      </c>
      <c r="B21">
        <v>1227227.5564737611</v>
      </c>
      <c r="C21">
        <v>1227227.5564737611</v>
      </c>
      <c r="D21">
        <v>1227227.5564737611</v>
      </c>
    </row>
    <row r="22" spans="1:4" x14ac:dyDescent="0.3">
      <c r="A22" t="s">
        <v>24</v>
      </c>
      <c r="C22">
        <v>30896.541970657039</v>
      </c>
      <c r="D22">
        <v>666283.65517239785</v>
      </c>
    </row>
    <row r="23" spans="1:4" x14ac:dyDescent="0.3">
      <c r="A23" t="s">
        <v>25</v>
      </c>
      <c r="C23">
        <v>15.044422816283429</v>
      </c>
      <c r="D23">
        <v>22.77561485708663</v>
      </c>
    </row>
    <row r="25" spans="1:4" x14ac:dyDescent="0.3">
      <c r="B25">
        <f>SUM(B2:B23)</f>
        <v>56697291.004750051</v>
      </c>
      <c r="C25">
        <f t="shared" ref="C25:D25" si="0">SUM(C2:C23)</f>
        <v>52880954.523199886</v>
      </c>
      <c r="D25">
        <f t="shared" si="0"/>
        <v>50851076.789040133</v>
      </c>
    </row>
    <row r="26" spans="1:4" x14ac:dyDescent="0.3">
      <c r="C26">
        <f>(B25-C25)/B25</f>
        <v>6.7310737672289053E-2</v>
      </c>
      <c r="D26">
        <f>(C25-D25)/C25</f>
        <v>3.8385799811332957E-2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8"/>
  <sheetViews>
    <sheetView topLeftCell="A4" workbookViewId="0">
      <selection activeCell="B28" sqref="B28:C28"/>
    </sheetView>
  </sheetViews>
  <sheetFormatPr defaultRowHeight="13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35313522.764793158</v>
      </c>
      <c r="C2">
        <v>16515678.03388783</v>
      </c>
      <c r="D2">
        <v>10364271.147515681</v>
      </c>
    </row>
    <row r="3" spans="1:4" x14ac:dyDescent="0.3">
      <c r="A3" t="s">
        <v>5</v>
      </c>
      <c r="B3">
        <v>66856.509813087105</v>
      </c>
      <c r="C3">
        <v>66598.922788299387</v>
      </c>
      <c r="D3">
        <v>66371.726427313319</v>
      </c>
    </row>
    <row r="4" spans="1:4" x14ac:dyDescent="0.3">
      <c r="A4" t="s">
        <v>6</v>
      </c>
      <c r="B4">
        <v>-13309972.14658024</v>
      </c>
      <c r="C4">
        <v>-13260347.933834109</v>
      </c>
      <c r="D4">
        <v>-13220750.99551101</v>
      </c>
    </row>
    <row r="5" spans="1:4" x14ac:dyDescent="0.3">
      <c r="A5" t="s">
        <v>9</v>
      </c>
      <c r="B5">
        <v>3448209.3256790699</v>
      </c>
      <c r="C5">
        <v>5109278.9767414816</v>
      </c>
      <c r="D5">
        <v>3949852.0011295988</v>
      </c>
    </row>
    <row r="6" spans="1:4" x14ac:dyDescent="0.3">
      <c r="A6" t="s">
        <v>10</v>
      </c>
      <c r="B6">
        <v>2296520.1768102869</v>
      </c>
      <c r="C6">
        <v>3402798.7140046069</v>
      </c>
      <c r="D6">
        <v>2630616.05583421</v>
      </c>
    </row>
    <row r="7" spans="1:4" x14ac:dyDescent="0.3">
      <c r="A7" t="s">
        <v>11</v>
      </c>
      <c r="B7">
        <v>8053208.3057088153</v>
      </c>
      <c r="C7">
        <v>13914455.204164241</v>
      </c>
      <c r="D7">
        <v>17432430.54876288</v>
      </c>
    </row>
    <row r="8" spans="1:4" x14ac:dyDescent="0.3">
      <c r="A8" t="s">
        <v>12</v>
      </c>
      <c r="B8">
        <v>3774973.1822524639</v>
      </c>
      <c r="C8">
        <v>6522455.8023834759</v>
      </c>
      <c r="D8">
        <v>8171520.6318963319</v>
      </c>
    </row>
    <row r="9" spans="1:4" x14ac:dyDescent="0.3">
      <c r="A9" t="s">
        <v>13</v>
      </c>
      <c r="B9">
        <v>16011229.74624907</v>
      </c>
      <c r="C9">
        <v>12535818.34945138</v>
      </c>
      <c r="D9">
        <v>10570999.28932398</v>
      </c>
    </row>
    <row r="10" spans="1:4" x14ac:dyDescent="0.3">
      <c r="A10" t="s">
        <v>14</v>
      </c>
      <c r="B10">
        <v>14212530.53780915</v>
      </c>
      <c r="C10">
        <v>12080729.37686515</v>
      </c>
      <c r="D10">
        <v>10867576.55648493</v>
      </c>
    </row>
    <row r="11" spans="1:4" x14ac:dyDescent="0.3">
      <c r="A11" t="s">
        <v>15</v>
      </c>
      <c r="B11">
        <v>76530.532940420031</v>
      </c>
      <c r="C11">
        <v>19404.293341891491</v>
      </c>
      <c r="D11">
        <v>155.23434673513191</v>
      </c>
    </row>
    <row r="12" spans="1:4" x14ac:dyDescent="0.3">
      <c r="A12" t="s">
        <v>16</v>
      </c>
      <c r="B12">
        <v>39981.010584616663</v>
      </c>
      <c r="C12">
        <v>10076.402729838261</v>
      </c>
      <c r="D12">
        <v>71.626798274603331</v>
      </c>
    </row>
    <row r="13" spans="1:4" x14ac:dyDescent="0.3">
      <c r="A13" t="s">
        <v>17</v>
      </c>
      <c r="B13">
        <v>260479.5876016886</v>
      </c>
      <c r="C13">
        <v>191241.5515597281</v>
      </c>
      <c r="D13">
        <v>106996.6667148314</v>
      </c>
    </row>
    <row r="14" spans="1:4" x14ac:dyDescent="0.3">
      <c r="A14" t="s">
        <v>18</v>
      </c>
      <c r="B14">
        <v>68650.923037320041</v>
      </c>
      <c r="C14">
        <v>50402.832554160013</v>
      </c>
      <c r="D14">
        <v>28199.59905311999</v>
      </c>
    </row>
    <row r="15" spans="1:4" x14ac:dyDescent="0.3">
      <c r="A15" t="s">
        <v>19</v>
      </c>
      <c r="B15">
        <v>682933.03856287745</v>
      </c>
      <c r="C15">
        <v>681274.83423722757</v>
      </c>
      <c r="D15">
        <v>674770.6000300931</v>
      </c>
    </row>
    <row r="16" spans="1:4" x14ac:dyDescent="0.3">
      <c r="A16" t="s">
        <v>20</v>
      </c>
      <c r="B16">
        <v>749508.27356134937</v>
      </c>
      <c r="C16">
        <v>748801.31170589058</v>
      </c>
      <c r="D16">
        <v>746028.28463541495</v>
      </c>
    </row>
    <row r="17" spans="1:4" x14ac:dyDescent="0.3">
      <c r="A17" t="s">
        <v>21</v>
      </c>
      <c r="B17">
        <v>4.0600716602057223E-12</v>
      </c>
      <c r="C17">
        <v>1.0896298882016709E-8</v>
      </c>
    </row>
    <row r="18" spans="1:4" x14ac:dyDescent="0.3">
      <c r="A18" t="s">
        <v>25</v>
      </c>
      <c r="B18">
        <v>7964425.241162952</v>
      </c>
      <c r="C18">
        <v>7964401.7564347684</v>
      </c>
      <c r="D18">
        <v>7964309.6386119779</v>
      </c>
    </row>
    <row r="19" spans="1:4" x14ac:dyDescent="0.3">
      <c r="A19" t="s">
        <v>22</v>
      </c>
      <c r="B19">
        <v>2.6517343030718621E-12</v>
      </c>
      <c r="C19">
        <v>7.1166452073171623E-9</v>
      </c>
    </row>
    <row r="20" spans="1:4" x14ac:dyDescent="0.3">
      <c r="A20" t="s">
        <v>23</v>
      </c>
      <c r="B20">
        <v>1227227.5564737611</v>
      </c>
      <c r="C20">
        <v>1227227.5564737611</v>
      </c>
      <c r="D20">
        <v>1227227.5564737611</v>
      </c>
    </row>
    <row r="21" spans="1:4" x14ac:dyDescent="0.3">
      <c r="A21" t="s">
        <v>24</v>
      </c>
      <c r="C21">
        <v>112467.9873024405</v>
      </c>
      <c r="D21">
        <v>1756515.6370301929</v>
      </c>
    </row>
    <row r="22" spans="1:4" x14ac:dyDescent="0.3">
      <c r="A22" t="s">
        <v>7</v>
      </c>
      <c r="C22">
        <v>9.5335753582144253E-9</v>
      </c>
      <c r="D22">
        <v>1.3999619248212401E-10</v>
      </c>
    </row>
    <row r="23" spans="1:4" x14ac:dyDescent="0.3">
      <c r="A23" t="s">
        <v>8</v>
      </c>
      <c r="C23">
        <v>2.3678531885802041E-8</v>
      </c>
      <c r="D23">
        <v>3.358744635552637E-10</v>
      </c>
    </row>
    <row r="25" spans="1:4" x14ac:dyDescent="0.3">
      <c r="B25">
        <f>SUM(B2:B23)</f>
        <v>80936814.566459864</v>
      </c>
      <c r="C25">
        <f t="shared" ref="C25:D25" si="0">SUM(C2:C23)</f>
        <v>67892763.972792104</v>
      </c>
      <c r="D25">
        <f t="shared" si="0"/>
        <v>63337161.805558316</v>
      </c>
    </row>
    <row r="26" spans="1:4" x14ac:dyDescent="0.3">
      <c r="C26">
        <f>(B25-C25)/B25</f>
        <v>0.16116337989749849</v>
      </c>
      <c r="D26">
        <f>(C25-D25)/C25</f>
        <v>6.7099966191675992E-2</v>
      </c>
    </row>
    <row r="28" spans="1:4" x14ac:dyDescent="0.3">
      <c r="B28">
        <f>(B2/SUM(B2:B23))</f>
        <v>0.43630976773611557</v>
      </c>
      <c r="C28">
        <f>(C2/SUM(C2:C23))</f>
        <v>0.24326124122014617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6"/>
  <sheetViews>
    <sheetView topLeftCell="A7" workbookViewId="0">
      <selection activeCell="C32" sqref="C32"/>
    </sheetView>
  </sheetViews>
  <sheetFormatPr defaultRowHeight="13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4845424.4244313398</v>
      </c>
      <c r="C2">
        <v>763562.47660253721</v>
      </c>
      <c r="D2">
        <v>118942.3469631698</v>
      </c>
    </row>
    <row r="3" spans="1:4" x14ac:dyDescent="0.3">
      <c r="A3" t="s">
        <v>5</v>
      </c>
      <c r="B3">
        <v>16634.701063040138</v>
      </c>
      <c r="C3">
        <v>16701.439219769221</v>
      </c>
      <c r="D3">
        <v>16637.807372629639</v>
      </c>
    </row>
    <row r="4" spans="1:4" x14ac:dyDescent="0.3">
      <c r="A4" t="s">
        <v>6</v>
      </c>
      <c r="B4">
        <v>-3323890.200080412</v>
      </c>
      <c r="C4">
        <v>-3328097.0473397211</v>
      </c>
      <c r="D4">
        <v>-3315969.574088023</v>
      </c>
    </row>
    <row r="5" spans="1:4" x14ac:dyDescent="0.3">
      <c r="A5" t="s">
        <v>7</v>
      </c>
      <c r="B5">
        <v>6357635.7717459407</v>
      </c>
      <c r="C5">
        <v>6357635.7717459323</v>
      </c>
      <c r="D5">
        <v>6353125.8794036312</v>
      </c>
    </row>
    <row r="6" spans="1:4" x14ac:dyDescent="0.3">
      <c r="A6" t="s">
        <v>8</v>
      </c>
      <c r="B6">
        <v>17751281.63044253</v>
      </c>
      <c r="C6">
        <v>17751281.630442511</v>
      </c>
      <c r="D6">
        <v>17751281.630442459</v>
      </c>
    </row>
    <row r="7" spans="1:4" x14ac:dyDescent="0.3">
      <c r="A7" t="s">
        <v>9</v>
      </c>
      <c r="B7">
        <v>885173.94019176206</v>
      </c>
      <c r="C7">
        <v>1682429.5164038839</v>
      </c>
      <c r="D7">
        <v>1044167.4872137801</v>
      </c>
    </row>
    <row r="8" spans="1:4" x14ac:dyDescent="0.3">
      <c r="A8" t="s">
        <v>10</v>
      </c>
      <c r="B8">
        <v>678177.24297125428</v>
      </c>
      <c r="C8">
        <v>1288995.709341675</v>
      </c>
      <c r="D8">
        <v>799990.36971813196</v>
      </c>
    </row>
    <row r="9" spans="1:4" x14ac:dyDescent="0.3">
      <c r="A9" t="s">
        <v>11</v>
      </c>
      <c r="B9">
        <v>2656925.7182614058</v>
      </c>
      <c r="C9">
        <v>2557176.05919402</v>
      </c>
      <c r="D9">
        <v>3071478.5028346661</v>
      </c>
    </row>
    <row r="10" spans="1:4" x14ac:dyDescent="0.3">
      <c r="A10" t="s">
        <v>12</v>
      </c>
      <c r="B10">
        <v>1379710.177796829</v>
      </c>
      <c r="C10">
        <v>1327911.3567379189</v>
      </c>
      <c r="D10">
        <v>1594982.5477312109</v>
      </c>
    </row>
    <row r="11" spans="1:4" x14ac:dyDescent="0.3">
      <c r="A11" t="s">
        <v>13</v>
      </c>
      <c r="B11">
        <v>1724431.9547098901</v>
      </c>
      <c r="C11">
        <v>1205538.84857977</v>
      </c>
      <c r="D11">
        <v>929968.49843157106</v>
      </c>
    </row>
    <row r="12" spans="1:4" x14ac:dyDescent="0.3">
      <c r="A12" t="s">
        <v>14</v>
      </c>
      <c r="B12">
        <v>3491067.5487235049</v>
      </c>
      <c r="C12">
        <v>2680849.516948285</v>
      </c>
      <c r="D12">
        <v>2244391.4904918638</v>
      </c>
    </row>
    <row r="13" spans="1:4" x14ac:dyDescent="0.3">
      <c r="A13" t="s">
        <v>15</v>
      </c>
      <c r="B13">
        <v>26265.896725595529</v>
      </c>
      <c r="C13">
        <v>2581.6907037978508</v>
      </c>
    </row>
    <row r="14" spans="1:4" x14ac:dyDescent="0.3">
      <c r="A14" t="s">
        <v>16</v>
      </c>
      <c r="B14">
        <v>16417.576862904349</v>
      </c>
      <c r="C14">
        <v>1553.91359164867</v>
      </c>
    </row>
    <row r="15" spans="1:4" x14ac:dyDescent="0.3">
      <c r="A15" t="s">
        <v>17</v>
      </c>
      <c r="B15">
        <v>92773.641791741655</v>
      </c>
      <c r="C15">
        <v>54398.064192315564</v>
      </c>
      <c r="D15">
        <v>32056.850492371112</v>
      </c>
    </row>
    <row r="16" spans="1:4" x14ac:dyDescent="0.3">
      <c r="A16" t="s">
        <v>18</v>
      </c>
      <c r="B16">
        <v>27430.519078943998</v>
      </c>
      <c r="C16">
        <v>16083.95562432</v>
      </c>
      <c r="D16">
        <v>9478.2961200960017</v>
      </c>
    </row>
    <row r="17" spans="1:4" x14ac:dyDescent="0.3">
      <c r="A17" t="s">
        <v>19</v>
      </c>
      <c r="B17">
        <v>145733.42406375619</v>
      </c>
      <c r="C17">
        <v>154006.16457990251</v>
      </c>
      <c r="D17">
        <v>151338.4767057102</v>
      </c>
    </row>
    <row r="18" spans="1:4" x14ac:dyDescent="0.3">
      <c r="A18" t="s">
        <v>20</v>
      </c>
      <c r="B18">
        <v>171398.31689645909</v>
      </c>
      <c r="C18">
        <v>175245.27892519929</v>
      </c>
      <c r="D18">
        <v>174004.75966358869</v>
      </c>
    </row>
    <row r="19" spans="1:4" x14ac:dyDescent="0.3">
      <c r="A19" t="s">
        <v>21</v>
      </c>
      <c r="B19">
        <v>17002603.123476651</v>
      </c>
      <c r="C19">
        <v>17002421.732795559</v>
      </c>
      <c r="D19">
        <v>17002480.22534921</v>
      </c>
    </row>
    <row r="20" spans="1:4" x14ac:dyDescent="0.3">
      <c r="A20" t="s">
        <v>22</v>
      </c>
      <c r="B20">
        <v>908504.15018233086</v>
      </c>
      <c r="C20">
        <v>908568.62237654033</v>
      </c>
      <c r="D20">
        <v>908547.83220541012</v>
      </c>
    </row>
    <row r="21" spans="1:4" x14ac:dyDescent="0.3">
      <c r="A21" t="s">
        <v>23</v>
      </c>
      <c r="B21">
        <v>1376966.5490722151</v>
      </c>
      <c r="C21">
        <v>1376966.5490722151</v>
      </c>
      <c r="D21">
        <v>1376966.5490722151</v>
      </c>
    </row>
    <row r="22" spans="1:4" x14ac:dyDescent="0.3">
      <c r="A22" t="s">
        <v>24</v>
      </c>
      <c r="C22">
        <v>33246.102162073134</v>
      </c>
      <c r="D22">
        <v>317170.90077645768</v>
      </c>
    </row>
    <row r="25" spans="1:4" x14ac:dyDescent="0.3">
      <c r="B25">
        <f>SUM(B2:B23)</f>
        <v>56230666.108407676</v>
      </c>
      <c r="C25">
        <f t="shared" ref="C25:D25" si="0">SUM(C2:C23)</f>
        <v>52029057.351900145</v>
      </c>
      <c r="D25">
        <f t="shared" si="0"/>
        <v>50581040.876900144</v>
      </c>
    </row>
    <row r="26" spans="1:4" x14ac:dyDescent="0.3">
      <c r="C26">
        <f>(B25-C25)/B25</f>
        <v>7.4720949390981894E-2</v>
      </c>
      <c r="D26">
        <f>(C25-D25)/C25</f>
        <v>2.7830918888387637E-2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0"/>
  <sheetViews>
    <sheetView tabSelected="1" topLeftCell="A23" workbookViewId="0">
      <selection activeCell="D31" sqref="D31"/>
    </sheetView>
  </sheetViews>
  <sheetFormatPr defaultRowHeight="13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22590592.945354011</v>
      </c>
      <c r="C2">
        <v>8917975.1808160711</v>
      </c>
      <c r="D2">
        <v>2837301.2645030492</v>
      </c>
    </row>
    <row r="3" spans="1:4" x14ac:dyDescent="0.3">
      <c r="A3" t="s">
        <v>5</v>
      </c>
      <c r="B3">
        <v>66657.792193647925</v>
      </c>
      <c r="C3">
        <v>66688.156244955346</v>
      </c>
      <c r="D3">
        <v>66510.622441051688</v>
      </c>
    </row>
    <row r="4" spans="1:4" x14ac:dyDescent="0.3">
      <c r="A4" t="s">
        <v>6</v>
      </c>
      <c r="B4">
        <v>-13307370.11582361</v>
      </c>
      <c r="C4">
        <v>-13297392.07929742</v>
      </c>
      <c r="D4">
        <v>-13266944.91872461</v>
      </c>
    </row>
    <row r="5" spans="1:4" x14ac:dyDescent="0.3">
      <c r="A5" t="s">
        <v>9</v>
      </c>
      <c r="B5">
        <v>3620624.6836753339</v>
      </c>
      <c r="C5">
        <v>5625252.1000617836</v>
      </c>
      <c r="D5">
        <v>5367191.8037323831</v>
      </c>
    </row>
    <row r="6" spans="1:4" x14ac:dyDescent="0.3">
      <c r="A6" t="s">
        <v>10</v>
      </c>
      <c r="B6">
        <v>2773946.6271190369</v>
      </c>
      <c r="C6">
        <v>4309794.7047692109</v>
      </c>
      <c r="D6">
        <v>4112081.4505277891</v>
      </c>
    </row>
    <row r="7" spans="1:4" x14ac:dyDescent="0.3">
      <c r="A7" t="s">
        <v>11</v>
      </c>
      <c r="B7">
        <v>9102419.24678386</v>
      </c>
      <c r="C7">
        <v>9828599.6083996966</v>
      </c>
      <c r="D7">
        <v>11620401.52222605</v>
      </c>
    </row>
    <row r="8" spans="1:4" x14ac:dyDescent="0.3">
      <c r="A8" t="s">
        <v>12</v>
      </c>
      <c r="B8">
        <v>4726778.9201044673</v>
      </c>
      <c r="C8">
        <v>5103875.8140639914</v>
      </c>
      <c r="D8">
        <v>6034337.4073673068</v>
      </c>
    </row>
    <row r="9" spans="1:4" x14ac:dyDescent="0.3">
      <c r="A9" t="s">
        <v>13</v>
      </c>
      <c r="B9">
        <v>6616945.7363008503</v>
      </c>
      <c r="C9">
        <v>4962872.1688628439</v>
      </c>
      <c r="D9">
        <v>4270363.2274738681</v>
      </c>
    </row>
    <row r="10" spans="1:4" x14ac:dyDescent="0.3">
      <c r="A10" t="s">
        <v>14</v>
      </c>
      <c r="B10">
        <v>13535909.687470401</v>
      </c>
      <c r="C10">
        <v>10934581.055770731</v>
      </c>
      <c r="D10">
        <v>9831327.0565432385</v>
      </c>
    </row>
    <row r="11" spans="1:4" x14ac:dyDescent="0.3">
      <c r="A11" t="s">
        <v>15</v>
      </c>
      <c r="B11">
        <v>96083.793150041747</v>
      </c>
      <c r="C11">
        <v>9765.5257056701321</v>
      </c>
    </row>
    <row r="12" spans="1:4" x14ac:dyDescent="0.3">
      <c r="A12" t="s">
        <v>16</v>
      </c>
      <c r="B12">
        <v>61418.812420658309</v>
      </c>
      <c r="C12">
        <v>5666.8890516673209</v>
      </c>
    </row>
    <row r="13" spans="1:4" x14ac:dyDescent="0.3">
      <c r="A13" t="s">
        <v>17</v>
      </c>
      <c r="B13">
        <v>351283.21977116278</v>
      </c>
      <c r="C13">
        <v>220692.23378982861</v>
      </c>
      <c r="D13">
        <v>168491.47131707179</v>
      </c>
    </row>
    <row r="14" spans="1:4" x14ac:dyDescent="0.3">
      <c r="A14" t="s">
        <v>18</v>
      </c>
      <c r="B14">
        <v>103864.426101504</v>
      </c>
      <c r="C14">
        <v>65252.397261024031</v>
      </c>
      <c r="D14">
        <v>49818.12106694399</v>
      </c>
    </row>
    <row r="15" spans="1:4" x14ac:dyDescent="0.3">
      <c r="A15" t="s">
        <v>19</v>
      </c>
      <c r="B15">
        <v>582588.4012105444</v>
      </c>
      <c r="C15">
        <v>590185.33323524264</v>
      </c>
      <c r="D15">
        <v>589794.47311478353</v>
      </c>
    </row>
    <row r="16" spans="1:4" x14ac:dyDescent="0.3">
      <c r="A16" t="s">
        <v>20</v>
      </c>
      <c r="B16">
        <v>685432.69964317768</v>
      </c>
      <c r="C16">
        <v>688965.39947546308</v>
      </c>
      <c r="D16">
        <v>688783.64301410457</v>
      </c>
    </row>
    <row r="17" spans="1:4" x14ac:dyDescent="0.3">
      <c r="A17" t="s">
        <v>21</v>
      </c>
      <c r="B17">
        <v>4.5929560656077228E-12</v>
      </c>
      <c r="C17">
        <v>4.3744010713965052E-9</v>
      </c>
      <c r="D17">
        <v>-2.9608163208649777E-11</v>
      </c>
    </row>
    <row r="18" spans="1:4" x14ac:dyDescent="0.3">
      <c r="A18" t="s">
        <v>25</v>
      </c>
      <c r="B18">
        <v>7173882.3813864682</v>
      </c>
      <c r="C18">
        <v>7173999.258359584</v>
      </c>
      <c r="D18">
        <v>7173993.2450705897</v>
      </c>
    </row>
    <row r="19" spans="1:4" x14ac:dyDescent="0.3">
      <c r="A19" t="s">
        <v>22</v>
      </c>
      <c r="B19">
        <v>2.4487307200615761E-12</v>
      </c>
      <c r="C19">
        <v>2.332208306020788E-9</v>
      </c>
      <c r="D19">
        <v>-1.5785567677539799E-11</v>
      </c>
    </row>
    <row r="20" spans="1:4" x14ac:dyDescent="0.3">
      <c r="A20" t="s">
        <v>23</v>
      </c>
      <c r="B20">
        <v>1376966.5490722151</v>
      </c>
      <c r="C20">
        <v>1376966.5490722151</v>
      </c>
      <c r="D20">
        <v>1376966.5490722151</v>
      </c>
    </row>
    <row r="21" spans="1:4" x14ac:dyDescent="0.3">
      <c r="A21" t="s">
        <v>24</v>
      </c>
      <c r="C21">
        <v>113483.5649055614</v>
      </c>
      <c r="D21">
        <v>1425861.26982926</v>
      </c>
    </row>
    <row r="22" spans="1:4" x14ac:dyDescent="0.3">
      <c r="A22" t="s">
        <v>7</v>
      </c>
      <c r="C22">
        <v>3.0913795714394949E-9</v>
      </c>
      <c r="D22">
        <v>-6.68662861353158E-11</v>
      </c>
    </row>
    <row r="23" spans="1:4" x14ac:dyDescent="0.3">
      <c r="A23" t="s">
        <v>8</v>
      </c>
      <c r="C23">
        <v>8.9134473428435043E-9</v>
      </c>
      <c r="D23">
        <v>-1.8306790713798061E-10</v>
      </c>
    </row>
    <row r="25" spans="1:4" x14ac:dyDescent="0.3">
      <c r="B25">
        <f>SUM(B2:B23)</f>
        <v>60158025.805933774</v>
      </c>
      <c r="C25">
        <f t="shared" ref="C25:D25" si="0">SUM(C2:C23)</f>
        <v>46697223.860548139</v>
      </c>
      <c r="D25">
        <f t="shared" si="0"/>
        <v>42346278.208575092</v>
      </c>
    </row>
    <row r="26" spans="1:4" x14ac:dyDescent="0.3">
      <c r="C26">
        <f>(B25-C25)/B25</f>
        <v>0.22375737509753701</v>
      </c>
      <c r="D26">
        <f>(C25-D25)/C25</f>
        <v>9.3173539929617008E-2</v>
      </c>
    </row>
    <row r="28" spans="1:4" x14ac:dyDescent="0.3">
      <c r="B28">
        <f>(B2/SUM(B2:B23))</f>
        <v>0.37552084934153135</v>
      </c>
      <c r="C28">
        <f>(C2/SUM(C2:C23))</f>
        <v>0.19097441868167173</v>
      </c>
    </row>
    <row r="30" spans="1:4" x14ac:dyDescent="0.3">
      <c r="D30">
        <f>(B25-D25)/B25</f>
        <v>0.29608264830395736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defaultRowHeight="13.5" x14ac:dyDescent="0.3"/>
  <sheetData>
    <row r="1" spans="1:2" x14ac:dyDescent="0.3">
      <c r="A1" s="1" t="s">
        <v>0</v>
      </c>
      <c r="B1" s="1" t="s">
        <v>26</v>
      </c>
    </row>
    <row r="2" spans="1:2" x14ac:dyDescent="0.3">
      <c r="A2" t="s">
        <v>1</v>
      </c>
      <c r="B2">
        <v>170.85266458760881</v>
      </c>
    </row>
    <row r="3" spans="1:2" x14ac:dyDescent="0.3">
      <c r="A3" t="s">
        <v>2</v>
      </c>
      <c r="B3">
        <v>64.35221067003215</v>
      </c>
    </row>
    <row r="4" spans="1:2" x14ac:dyDescent="0.3">
      <c r="A4" t="s">
        <v>3</v>
      </c>
      <c r="B4">
        <v>39.21678988126358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/>
  </sheetViews>
  <sheetFormatPr defaultRowHeight="13.5" x14ac:dyDescent="0.3"/>
  <sheetData>
    <row r="1" spans="1:2" x14ac:dyDescent="0.3">
      <c r="A1" s="1" t="s">
        <v>0</v>
      </c>
      <c r="B1" s="1" t="s">
        <v>26</v>
      </c>
    </row>
    <row r="2" spans="1:2" x14ac:dyDescent="0.3">
      <c r="A2" t="s">
        <v>1</v>
      </c>
      <c r="B2">
        <v>592.42848162865494</v>
      </c>
    </row>
    <row r="3" spans="1:2" x14ac:dyDescent="0.3">
      <c r="A3" t="s">
        <v>2</v>
      </c>
      <c r="B3">
        <v>152.99034997889771</v>
      </c>
    </row>
    <row r="4" spans="1:2" x14ac:dyDescent="0.3">
      <c r="A4" t="s">
        <v>3</v>
      </c>
      <c r="B4">
        <v>119.30168928693411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workbookViewId="0"/>
  </sheetViews>
  <sheetFormatPr defaultRowHeight="13.5" x14ac:dyDescent="0.3"/>
  <sheetData>
    <row r="1" spans="1:2" x14ac:dyDescent="0.3">
      <c r="A1" s="1" t="s">
        <v>0</v>
      </c>
      <c r="B1" s="1" t="s">
        <v>26</v>
      </c>
    </row>
    <row r="2" spans="1:2" x14ac:dyDescent="0.3">
      <c r="A2" t="s">
        <v>1</v>
      </c>
      <c r="B2">
        <v>26.16594681759187</v>
      </c>
    </row>
    <row r="3" spans="1:2" x14ac:dyDescent="0.3">
      <c r="A3" t="s">
        <v>2</v>
      </c>
      <c r="B3">
        <v>-0.65238012172919835</v>
      </c>
    </row>
    <row r="4" spans="1:2" x14ac:dyDescent="0.3">
      <c r="A4" t="s">
        <v>3</v>
      </c>
      <c r="B4">
        <v>-10.466370063465339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/>
  </sheetViews>
  <sheetFormatPr defaultRowHeight="13.5" x14ac:dyDescent="0.3"/>
  <sheetData>
    <row r="1" spans="1:2" x14ac:dyDescent="0.3">
      <c r="A1" s="1" t="s">
        <v>0</v>
      </c>
      <c r="B1" s="1" t="s">
        <v>26</v>
      </c>
    </row>
    <row r="2" spans="1:2" x14ac:dyDescent="0.3">
      <c r="A2" t="s">
        <v>1</v>
      </c>
      <c r="B2">
        <v>74.960686319993371</v>
      </c>
    </row>
    <row r="3" spans="1:2" x14ac:dyDescent="0.3">
      <c r="A3" t="s">
        <v>2</v>
      </c>
      <c r="B3">
        <v>29.50350592677124</v>
      </c>
    </row>
    <row r="4" spans="1:2" x14ac:dyDescent="0.3">
      <c r="A4" t="s">
        <v>3</v>
      </c>
      <c r="B4">
        <v>18.48734238813234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/>
  </sheetViews>
  <sheetFormatPr defaultRowHeight="13.5" x14ac:dyDescent="0.3"/>
  <sheetData>
    <row r="1" spans="1:2" x14ac:dyDescent="0.3">
      <c r="A1" s="1" t="s">
        <v>0</v>
      </c>
      <c r="B1" s="1" t="s">
        <v>26</v>
      </c>
    </row>
    <row r="2" spans="1:2" x14ac:dyDescent="0.3">
      <c r="A2" t="s">
        <v>1</v>
      </c>
      <c r="B2">
        <v>-18.759732027249068</v>
      </c>
    </row>
    <row r="3" spans="1:2" x14ac:dyDescent="0.3">
      <c r="A3" t="s">
        <v>2</v>
      </c>
      <c r="B3">
        <v>-36.003982043723063</v>
      </c>
    </row>
    <row r="4" spans="1:2" x14ac:dyDescent="0.3">
      <c r="A4" t="s">
        <v>3</v>
      </c>
      <c r="B4">
        <v>-42.484203695564823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/>
  </sheetViews>
  <sheetFormatPr defaultRowHeight="13.5" x14ac:dyDescent="0.3"/>
  <sheetData>
    <row r="1" spans="1:2" x14ac:dyDescent="0.3">
      <c r="A1" s="1" t="s">
        <v>0</v>
      </c>
      <c r="B1" s="1" t="s">
        <v>26</v>
      </c>
    </row>
    <row r="2" spans="1:2" x14ac:dyDescent="0.3">
      <c r="A2" t="s">
        <v>1</v>
      </c>
      <c r="B2">
        <v>1.08433016360302</v>
      </c>
    </row>
    <row r="3" spans="1:2" x14ac:dyDescent="0.3">
      <c r="A3" t="s">
        <v>2</v>
      </c>
      <c r="B3">
        <v>-21.650584306166461</v>
      </c>
    </row>
    <row r="4" spans="1:2" x14ac:dyDescent="0.3">
      <c r="A4" t="s">
        <v>3</v>
      </c>
      <c r="B4">
        <v>-26.80946691058648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2030_ED25_CB</vt:lpstr>
      <vt:lpstr>2030_ED100_CB</vt:lpstr>
      <vt:lpstr>2040_ED25_CB</vt:lpstr>
      <vt:lpstr>2040_ED100_CB</vt:lpstr>
      <vt:lpstr>2050_ED25_CB</vt:lpstr>
      <vt:lpstr>2050_ED100_CB</vt:lpstr>
      <vt:lpstr>2030_ED25_LCCE</vt:lpstr>
      <vt:lpstr>2030_ED100_LCCE</vt:lpstr>
      <vt:lpstr>2040_ED25_LCCE</vt:lpstr>
      <vt:lpstr>2040_ED100_LCCE</vt:lpstr>
      <vt:lpstr>2050_ED25_LCCE</vt:lpstr>
      <vt:lpstr>2050_ED100_LCCE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Jiaxin Ding</cp:lastModifiedBy>
  <dcterms:created xsi:type="dcterms:W3CDTF">2025-10-17T09:45:42Z</dcterms:created>
  <dcterms:modified xsi:type="dcterms:W3CDTF">2025-10-19T14:55:16Z</dcterms:modified>
</cp:coreProperties>
</file>